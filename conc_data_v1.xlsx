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es/python_projects/adsolve/"/>
    </mc:Choice>
  </mc:AlternateContent>
  <xr:revisionPtr revIDLastSave="0" documentId="13_ncr:1_{A8C76CFA-A485-9B44-AE6D-256F341BC579}" xr6:coauthVersionLast="47" xr6:coauthVersionMax="47" xr10:uidLastSave="{00000000-0000-0000-0000-000000000000}"/>
  <bookViews>
    <workbookView xWindow="20" yWindow="760" windowWidth="28600" windowHeight="18560" activeTab="2" xr2:uid="{B672A836-5648-D342-817E-0FAB6C4978C8}"/>
  </bookViews>
  <sheets>
    <sheet name="TSSD" sheetId="1" r:id="rId1"/>
    <sheet name="DW24" sheetId="2" r:id="rId2"/>
    <sheet name="DW25" sheetId="3" r:id="rId3"/>
    <sheet name="Diffusion parameters" sheetId="4" r:id="rId4"/>
    <sheet name="Chloride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4" l="1"/>
  <c r="T36" i="4" s="1"/>
  <c r="U36" i="4" s="1"/>
  <c r="R37" i="4"/>
  <c r="T37" i="4" s="1"/>
  <c r="U37" i="4" s="1"/>
  <c r="R35" i="4"/>
  <c r="T35" i="4" s="1"/>
  <c r="U35" i="4" s="1"/>
  <c r="P38" i="4"/>
  <c r="R38" i="4" s="1"/>
  <c r="T38" i="4" s="1"/>
  <c r="P36" i="4"/>
  <c r="P37" i="4"/>
  <c r="P35" i="4"/>
  <c r="T11" i="4"/>
  <c r="T10" i="4"/>
  <c r="U10" i="4" s="1"/>
  <c r="T9" i="4"/>
  <c r="U9" i="4" s="1"/>
  <c r="T8" i="4"/>
  <c r="U8" i="4" s="1"/>
  <c r="T7" i="4"/>
  <c r="U7" i="4" s="1"/>
  <c r="T6" i="4"/>
  <c r="U6" i="4" s="1"/>
  <c r="T5" i="4"/>
  <c r="U5" i="4" s="1"/>
  <c r="T4" i="4"/>
  <c r="U4" i="4" s="1"/>
  <c r="J50" i="1" l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U2" i="1"/>
  <c r="M2" i="1"/>
  <c r="C6" i="1"/>
  <c r="E36" i="1"/>
  <c r="E34" i="1"/>
  <c r="E30" i="1"/>
  <c r="E26" i="1"/>
  <c r="E38" i="1" s="1"/>
  <c r="E39" i="1" s="1"/>
  <c r="E14" i="1"/>
  <c r="E11" i="1"/>
  <c r="E5" i="1" l="1"/>
</calcChain>
</file>

<file path=xl/sharedStrings.xml><?xml version="1.0" encoding="utf-8"?>
<sst xmlns="http://schemas.openxmlformats.org/spreadsheetml/2006/main" count="238" uniqueCount="154">
  <si>
    <t>Sample ID</t>
  </si>
  <si>
    <t>Depth
(cm)</t>
  </si>
  <si>
    <t>Porosity 
(%)</t>
  </si>
  <si>
    <t>Dry bulk density
(g/cm^3)</t>
  </si>
  <si>
    <t>pH</t>
  </si>
  <si>
    <r>
      <t>Ca</t>
    </r>
    <r>
      <rPr>
        <b/>
        <vertAlign val="superscript"/>
        <sz val="14"/>
        <color theme="1"/>
        <rFont val="Aptos Narrow (Body)"/>
      </rPr>
      <t>2+</t>
    </r>
  </si>
  <si>
    <r>
      <t>Mg</t>
    </r>
    <r>
      <rPr>
        <b/>
        <vertAlign val="superscript"/>
        <sz val="14"/>
        <color theme="1"/>
        <rFont val="Aptos Narrow (Body)"/>
      </rPr>
      <t>2+</t>
    </r>
  </si>
  <si>
    <r>
      <t>Na</t>
    </r>
    <r>
      <rPr>
        <b/>
        <vertAlign val="superscript"/>
        <sz val="14"/>
        <color theme="1"/>
        <rFont val="Aptos Narrow (Body)"/>
      </rPr>
      <t>+</t>
    </r>
  </si>
  <si>
    <r>
      <t>K</t>
    </r>
    <r>
      <rPr>
        <b/>
        <vertAlign val="superscript"/>
        <sz val="14"/>
        <color theme="1"/>
        <rFont val="Aptos Narrow (Body)"/>
      </rPr>
      <t xml:space="preserve"> +</t>
    </r>
  </si>
  <si>
    <r>
      <t>HCO</t>
    </r>
    <r>
      <rPr>
        <b/>
        <vertAlign val="subscript"/>
        <sz val="14"/>
        <color theme="1"/>
        <rFont val="Aptos Narrow (Body)"/>
      </rPr>
      <t>3</t>
    </r>
    <r>
      <rPr>
        <b/>
        <vertAlign val="superscript"/>
        <sz val="14"/>
        <color theme="1"/>
        <rFont val="Aptos Narrow (Body)"/>
      </rPr>
      <t>-</t>
    </r>
  </si>
  <si>
    <r>
      <t>F</t>
    </r>
    <r>
      <rPr>
        <b/>
        <vertAlign val="superscript"/>
        <sz val="14"/>
        <color theme="1"/>
        <rFont val="Aptos Narrow (Body)"/>
      </rPr>
      <t>-</t>
    </r>
  </si>
  <si>
    <r>
      <t>Cl</t>
    </r>
    <r>
      <rPr>
        <b/>
        <vertAlign val="superscript"/>
        <sz val="14"/>
        <color theme="1"/>
        <rFont val="Aptos Narrow (Body)"/>
      </rPr>
      <t>-</t>
    </r>
  </si>
  <si>
    <r>
      <t>B</t>
    </r>
    <r>
      <rPr>
        <b/>
        <sz val="14"/>
        <color theme="1"/>
        <rFont val="Aptos Narrow (Body)"/>
      </rPr>
      <t>r-</t>
    </r>
  </si>
  <si>
    <r>
      <t>HPO</t>
    </r>
    <r>
      <rPr>
        <b/>
        <vertAlign val="subscript"/>
        <sz val="14"/>
        <color theme="1"/>
        <rFont val="Aptos Narrow (Body)"/>
      </rPr>
      <t>4</t>
    </r>
    <r>
      <rPr>
        <b/>
        <vertAlign val="superscript"/>
        <sz val="14"/>
        <color theme="1"/>
        <rFont val="Aptos Narrow (Body)"/>
      </rPr>
      <t>2-</t>
    </r>
  </si>
  <si>
    <t>Sulfate</t>
  </si>
  <si>
    <r>
      <rPr>
        <b/>
        <sz val="14"/>
        <color theme="1"/>
        <rFont val="Symbol"/>
        <charset val="2"/>
      </rPr>
      <t>d</t>
    </r>
    <r>
      <rPr>
        <b/>
        <vertAlign val="superscript"/>
        <sz val="14"/>
        <color theme="1"/>
        <rFont val="Aptos Narrow"/>
        <scheme val="minor"/>
      </rPr>
      <t>18</t>
    </r>
    <r>
      <rPr>
        <b/>
        <sz val="14"/>
        <color theme="1"/>
        <rFont val="Aptos Narrow"/>
        <scheme val="minor"/>
      </rPr>
      <t>O</t>
    </r>
  </si>
  <si>
    <r>
      <rPr>
        <b/>
        <sz val="14"/>
        <color theme="1"/>
        <rFont val="Symbol"/>
        <charset val="2"/>
      </rPr>
      <t>d</t>
    </r>
    <r>
      <rPr>
        <b/>
        <vertAlign val="superscript"/>
        <sz val="14"/>
        <color theme="1"/>
        <rFont val="Aptos Narrow"/>
        <scheme val="minor"/>
      </rPr>
      <t>2</t>
    </r>
    <r>
      <rPr>
        <b/>
        <sz val="14"/>
        <color theme="1"/>
        <rFont val="Aptos Narrow"/>
        <scheme val="minor"/>
      </rPr>
      <t>H</t>
    </r>
  </si>
  <si>
    <t>Al</t>
  </si>
  <si>
    <t>As</t>
  </si>
  <si>
    <t>B</t>
  </si>
  <si>
    <t>Ba</t>
  </si>
  <si>
    <t>Co</t>
  </si>
  <si>
    <t>Cu</t>
  </si>
  <si>
    <t>Fe</t>
  </si>
  <si>
    <t>Li</t>
  </si>
  <si>
    <t>Mn</t>
  </si>
  <si>
    <t>Ml</t>
  </si>
  <si>
    <t>Ni</t>
  </si>
  <si>
    <t>P</t>
  </si>
  <si>
    <t>Pb</t>
  </si>
  <si>
    <t>Sb</t>
  </si>
  <si>
    <t>Se</t>
  </si>
  <si>
    <t>Si</t>
  </si>
  <si>
    <t>Sr</t>
  </si>
  <si>
    <t>Ti</t>
  </si>
  <si>
    <t>V</t>
  </si>
  <si>
    <t>Zn</t>
  </si>
  <si>
    <t>24UTL-TSSD_ICE</t>
  </si>
  <si>
    <t>24UTL-TSSD_1</t>
  </si>
  <si>
    <t>24UTL-TSSD_2</t>
  </si>
  <si>
    <t>24UTL-TSSD_3</t>
  </si>
  <si>
    <t>24UTL-TSSD_4</t>
  </si>
  <si>
    <t>24UTL-TSSD_5</t>
  </si>
  <si>
    <t>24UTL-TSSD_6</t>
  </si>
  <si>
    <t>24UTL-TSSD_7</t>
  </si>
  <si>
    <t>24UTL-TSSD_8</t>
  </si>
  <si>
    <t>24UTL-TSSD_9</t>
  </si>
  <si>
    <t>24UTL-TSSD_10</t>
  </si>
  <si>
    <t>24UTL-TSSD_11</t>
  </si>
  <si>
    <t>24UTL-TSSD_12</t>
  </si>
  <si>
    <t>24UTL-TSSD_13</t>
  </si>
  <si>
    <t>24UTL-TSSD_14</t>
  </si>
  <si>
    <t>24UTL-TSSD_15</t>
  </si>
  <si>
    <t>24UTL-TSSD_16</t>
  </si>
  <si>
    <t>24UTL-TSSD_17</t>
  </si>
  <si>
    <t>24UTL-TSSD_18</t>
  </si>
  <si>
    <t>24UTL-TSSD_19</t>
  </si>
  <si>
    <t>24UTL-TSSD_20</t>
  </si>
  <si>
    <t>24UTL-TSSD_21</t>
  </si>
  <si>
    <t>24UTL-TSSD_22</t>
  </si>
  <si>
    <t>24UTL-TSSD_23</t>
  </si>
  <si>
    <t>24UTL-TSSD_24</t>
  </si>
  <si>
    <t>24UTL-TSSD_25</t>
  </si>
  <si>
    <t>24UTL-TSSD_26</t>
  </si>
  <si>
    <t>24UTL-TSSD_27</t>
  </si>
  <si>
    <t>24UTL-TSSD_28</t>
  </si>
  <si>
    <t>24UTL-TSSD_29</t>
  </si>
  <si>
    <t>24UTL-TSSD_30</t>
  </si>
  <si>
    <t>24UTL-TSSD_31</t>
  </si>
  <si>
    <t>24UTL-TSSD_32</t>
  </si>
  <si>
    <t>24UTL-TSSD_33</t>
  </si>
  <si>
    <t>24UTL-TSSD_34</t>
  </si>
  <si>
    <t>24UTL-TSSD_35</t>
  </si>
  <si>
    <t>18O/16O</t>
  </si>
  <si>
    <t>Depth (cm)</t>
  </si>
  <si>
    <t>2H/1H</t>
  </si>
  <si>
    <t>Water isotopes site UT402105111472901</t>
  </si>
  <si>
    <t>T °C</t>
  </si>
  <si>
    <t>D reported</t>
  </si>
  <si>
    <t>D calculated</t>
  </si>
  <si>
    <t>Delta</t>
  </si>
  <si>
    <t>EC</t>
  </si>
  <si>
    <t>Nitrate</t>
  </si>
  <si>
    <t>Mo</t>
  </si>
  <si>
    <t xml:space="preserve">25UTL-DW ICE </t>
  </si>
  <si>
    <t>25UTL-DW2</t>
  </si>
  <si>
    <t>25UTL-DW4</t>
  </si>
  <si>
    <t>25UTL-DW6</t>
  </si>
  <si>
    <t>25UTL-DW8</t>
  </si>
  <si>
    <t>25UTL-DW10</t>
  </si>
  <si>
    <t>25UTL-DW12</t>
  </si>
  <si>
    <t>25UTL-DW14</t>
  </si>
  <si>
    <t>25UTL-DW16</t>
  </si>
  <si>
    <t>25UTL-DW18</t>
  </si>
  <si>
    <t>25UTL-DW20</t>
  </si>
  <si>
    <t>25UTL-DW22</t>
  </si>
  <si>
    <t>25UTL-DW24</t>
  </si>
  <si>
    <t>25UTL-DW26</t>
  </si>
  <si>
    <t>25UTL-DW28</t>
  </si>
  <si>
    <t>25UTL-DW30</t>
  </si>
  <si>
    <t>25UTL-DW32</t>
  </si>
  <si>
    <t>25UTL-DW34</t>
  </si>
  <si>
    <t>25UTL-DW36</t>
  </si>
  <si>
    <t>25UTL-DW38</t>
  </si>
  <si>
    <t>25UTL-DW40</t>
  </si>
  <si>
    <t>25UTL-DW42</t>
  </si>
  <si>
    <t>25UTL-DW44</t>
  </si>
  <si>
    <t>25UTL-DW46</t>
  </si>
  <si>
    <t>25UTL-DW48</t>
  </si>
  <si>
    <t>25UTL-DW50</t>
  </si>
  <si>
    <t>*This core just did PW extraction while the other cores had MilliQ H2O PW extraction</t>
  </si>
  <si>
    <t>**This core was taken May 2025 while the other cores were taken Nov 2024</t>
  </si>
  <si>
    <t>HCO3-</t>
  </si>
  <si>
    <t>F-</t>
  </si>
  <si>
    <t>Cl-</t>
  </si>
  <si>
    <t>HPO42-</t>
  </si>
  <si>
    <t xml:space="preserve">24UTL-DW ICE </t>
  </si>
  <si>
    <t xml:space="preserve">24UTL-DW3 </t>
  </si>
  <si>
    <t xml:space="preserve">24UTL-DW4 </t>
  </si>
  <si>
    <t xml:space="preserve">24UTL-DW5 </t>
  </si>
  <si>
    <t xml:space="preserve">24UTL-DW6 </t>
  </si>
  <si>
    <t xml:space="preserve">24UTL-DW7 </t>
  </si>
  <si>
    <t xml:space="preserve">24UTL-DW8 </t>
  </si>
  <si>
    <t xml:space="preserve">24UTL-DW9 </t>
  </si>
  <si>
    <t xml:space="preserve">24UTL-DW10 </t>
  </si>
  <si>
    <t xml:space="preserve">24UTL-DW11 </t>
  </si>
  <si>
    <t xml:space="preserve">24UTL-DW12 </t>
  </si>
  <si>
    <t xml:space="preserve">24UTL-DW13 </t>
  </si>
  <si>
    <t xml:space="preserve">24UTL-DW14 </t>
  </si>
  <si>
    <t xml:space="preserve">24UTL-DW15 </t>
  </si>
  <si>
    <t xml:space="preserve">24UTL-DW16 </t>
  </si>
  <si>
    <t xml:space="preserve">24UTL-DW17 </t>
  </si>
  <si>
    <t xml:space="preserve">24UTL-DW18 </t>
  </si>
  <si>
    <t xml:space="preserve">24UTL-DW19 </t>
  </si>
  <si>
    <t xml:space="preserve">24UTL-DW20 </t>
  </si>
  <si>
    <t>Water self diffusion</t>
  </si>
  <si>
    <t>Chloride diffusion</t>
  </si>
  <si>
    <t>1/T  K</t>
  </si>
  <si>
    <t>log D</t>
  </si>
  <si>
    <t>Org_Identifier</t>
  </si>
  <si>
    <t>Location_Identifier</t>
  </si>
  <si>
    <t>Location_Latitude</t>
  </si>
  <si>
    <t>Location_Longitude</t>
  </si>
  <si>
    <t>Location_HorzCoordReferenceSystemDatum</t>
  </si>
  <si>
    <t>Result_Characteristic</t>
  </si>
  <si>
    <t>Result_SampleFraction</t>
  </si>
  <si>
    <t>Result_Measure</t>
  </si>
  <si>
    <t>Result_MeasureUnit</t>
  </si>
  <si>
    <t>USGS</t>
  </si>
  <si>
    <t>USGS-402133111484601</t>
  </si>
  <si>
    <t>NAD83</t>
  </si>
  <si>
    <t>mg/L</t>
  </si>
  <si>
    <t>Filtered field and/or lab</t>
  </si>
  <si>
    <t>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</si>
</sst>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vertAlign val="superscript"/>
      <sz val="14"/>
      <color theme="1"/>
      <name val="Aptos Narrow (Body)"/>
    </font>
    <font>
      <b/>
      <vertAlign val="subscript"/>
      <sz val="14"/>
      <color theme="1"/>
      <name val="Aptos Narrow (Body)"/>
    </font>
    <font>
      <b/>
      <sz val="14"/>
      <color theme="1"/>
      <name val="Aptos Narrow (Body)"/>
    </font>
    <font>
      <b/>
      <sz val="14"/>
      <color theme="1"/>
      <name val="Symbol"/>
      <charset val="2"/>
    </font>
    <font>
      <b/>
      <vertAlign val="superscript"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6"/>
      <color rgb="FFFF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0" fontId="7" fillId="0" borderId="0" xfId="0" applyFont="1"/>
    <xf numFmtId="2" fontId="7" fillId="6" borderId="0" xfId="0" applyNumberFormat="1" applyFont="1" applyFill="1"/>
    <xf numFmtId="2" fontId="7" fillId="0" borderId="0" xfId="0" applyNumberFormat="1" applyFont="1"/>
    <xf numFmtId="11" fontId="7" fillId="0" borderId="0" xfId="0" applyNumberFormat="1" applyFont="1"/>
    <xf numFmtId="0" fontId="7" fillId="4" borderId="0" xfId="0" applyFont="1" applyFill="1"/>
    <xf numFmtId="0" fontId="7" fillId="7" borderId="0" xfId="0" applyFont="1" applyFill="1"/>
    <xf numFmtId="0" fontId="1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12" borderId="0" xfId="0" applyNumberFormat="1" applyFill="1"/>
    <xf numFmtId="0" fontId="9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Cl-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TSSD!$L$5:$L$40</c:f>
              <c:numCache>
                <c:formatCode>General</c:formatCode>
                <c:ptCount val="36"/>
                <c:pt idx="0">
                  <c:v>216.06858913043482</c:v>
                </c:pt>
                <c:pt idx="1">
                  <c:v>299.82077352051823</c:v>
                </c:pt>
                <c:pt idx="2">
                  <c:v>305.55000300525938</c:v>
                </c:pt>
                <c:pt idx="3">
                  <c:v>308.19033471849264</c:v>
                </c:pt>
                <c:pt idx="4">
                  <c:v>300.70548534344334</c:v>
                </c:pt>
                <c:pt idx="5">
                  <c:v>299.01895563066694</c:v>
                </c:pt>
                <c:pt idx="6">
                  <c:v>307.33208282044416</c:v>
                </c:pt>
                <c:pt idx="7">
                  <c:v>312.61436106713029</c:v>
                </c:pt>
                <c:pt idx="8">
                  <c:v>307.09742570353433</c:v>
                </c:pt>
                <c:pt idx="9">
                  <c:v>307.38844505426908</c:v>
                </c:pt>
                <c:pt idx="10">
                  <c:v>317.09798060691935</c:v>
                </c:pt>
                <c:pt idx="11">
                  <c:v>319.61172819375793</c:v>
                </c:pt>
                <c:pt idx="12">
                  <c:v>299.70542528517115</c:v>
                </c:pt>
                <c:pt idx="13">
                  <c:v>303.97981040269207</c:v>
                </c:pt>
                <c:pt idx="14">
                  <c:v>302.24499593656492</c:v>
                </c:pt>
                <c:pt idx="15">
                  <c:v>312.10003352108822</c:v>
                </c:pt>
                <c:pt idx="16">
                  <c:v>301.12450576191981</c:v>
                </c:pt>
                <c:pt idx="17">
                  <c:v>299.9574655236039</c:v>
                </c:pt>
                <c:pt idx="18">
                  <c:v>305.65951978772853</c:v>
                </c:pt>
                <c:pt idx="19">
                  <c:v>300.58784624653731</c:v>
                </c:pt>
                <c:pt idx="20">
                  <c:v>285.96130053576803</c:v>
                </c:pt>
                <c:pt idx="21">
                  <c:v>198.16197622350941</c:v>
                </c:pt>
                <c:pt idx="22">
                  <c:v>310.55949368936268</c:v>
                </c:pt>
                <c:pt idx="23">
                  <c:v>289.91024600687695</c:v>
                </c:pt>
                <c:pt idx="24">
                  <c:v>462.57093670730052</c:v>
                </c:pt>
                <c:pt idx="25">
                  <c:v>272.0042467665624</c:v>
                </c:pt>
                <c:pt idx="26">
                  <c:v>290.18900945745088</c:v>
                </c:pt>
                <c:pt idx="27">
                  <c:v>208.62505048474489</c:v>
                </c:pt>
                <c:pt idx="28">
                  <c:v>235.58964486935136</c:v>
                </c:pt>
                <c:pt idx="29">
                  <c:v>310.28613744955726</c:v>
                </c:pt>
                <c:pt idx="30">
                  <c:v>214.4195612167949</c:v>
                </c:pt>
                <c:pt idx="31">
                  <c:v>285.31173557688805</c:v>
                </c:pt>
                <c:pt idx="32">
                  <c:v>291.84694382652071</c:v>
                </c:pt>
                <c:pt idx="33">
                  <c:v>439.63078349682928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1-5F45-983F-C4C364B94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in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18O/16O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40897233788357"/>
                  <c:y val="0.210588229052695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-11.866x - 78.803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0.9331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TSSD!$P$5:$P$40</c:f>
              <c:numCache>
                <c:formatCode>General</c:formatCode>
                <c:ptCount val="36"/>
                <c:pt idx="0">
                  <c:v>-6.9773421367386756</c:v>
                </c:pt>
                <c:pt idx="1">
                  <c:v>-6.8513560980469892</c:v>
                </c:pt>
                <c:pt idx="2">
                  <c:v>-6.9997228901190356</c:v>
                </c:pt>
                <c:pt idx="3">
                  <c:v>-7.0537887550266456</c:v>
                </c:pt>
                <c:pt idx="4">
                  <c:v>-7.3052578941318087</c:v>
                </c:pt>
                <c:pt idx="5">
                  <c:v>-7.3706398702991498</c:v>
                </c:pt>
                <c:pt idx="6">
                  <c:v>-7.1883247444479075</c:v>
                </c:pt>
                <c:pt idx="7">
                  <c:v>-7.1870673987523821</c:v>
                </c:pt>
                <c:pt idx="8">
                  <c:v>-7.2599934490928781</c:v>
                </c:pt>
                <c:pt idx="9">
                  <c:v>-7.3404635736065309</c:v>
                </c:pt>
                <c:pt idx="10">
                  <c:v>-7.3291474623467989</c:v>
                </c:pt>
                <c:pt idx="11">
                  <c:v>-7.3943498177004949</c:v>
                </c:pt>
                <c:pt idx="12">
                  <c:v>-7.0814503603282137</c:v>
                </c:pt>
                <c:pt idx="13">
                  <c:v>-7.5500211895275013</c:v>
                </c:pt>
                <c:pt idx="14">
                  <c:v>-7.7566449988255766</c:v>
                </c:pt>
                <c:pt idx="15">
                  <c:v>-7.9477615445455001</c:v>
                </c:pt>
                <c:pt idx="16">
                  <c:v>-8.0382904346233595</c:v>
                </c:pt>
                <c:pt idx="17">
                  <c:v>-8.1853998809998778</c:v>
                </c:pt>
                <c:pt idx="18">
                  <c:v>-8.3154453500799796</c:v>
                </c:pt>
                <c:pt idx="19">
                  <c:v>-8.4293249459318886</c:v>
                </c:pt>
                <c:pt idx="20">
                  <c:v>-8.5663756267442004</c:v>
                </c:pt>
                <c:pt idx="21">
                  <c:v>-8.7524627896820224</c:v>
                </c:pt>
                <c:pt idx="22">
                  <c:v>-8.8367049512822522</c:v>
                </c:pt>
                <c:pt idx="23">
                  <c:v>-8.9636968665303609</c:v>
                </c:pt>
                <c:pt idx="24">
                  <c:v>-9.0881740903874153</c:v>
                </c:pt>
                <c:pt idx="25">
                  <c:v>-8.918935359769641</c:v>
                </c:pt>
                <c:pt idx="26">
                  <c:v>-9.0266060628298348</c:v>
                </c:pt>
                <c:pt idx="27">
                  <c:v>-8.7496966291518667</c:v>
                </c:pt>
                <c:pt idx="28">
                  <c:v>-9.1342767658900303</c:v>
                </c:pt>
                <c:pt idx="29">
                  <c:v>-9.0127333486558658</c:v>
                </c:pt>
                <c:pt idx="30">
                  <c:v>-9.0617698307813743</c:v>
                </c:pt>
                <c:pt idx="31">
                  <c:v>-9.1014660305972601</c:v>
                </c:pt>
                <c:pt idx="32">
                  <c:v>-9.0353655711753316</c:v>
                </c:pt>
                <c:pt idx="33">
                  <c:v>-9.1124827738342482</c:v>
                </c:pt>
                <c:pt idx="34">
                  <c:v>-9.344313370647388</c:v>
                </c:pt>
                <c:pt idx="35">
                  <c:v>-9.4243045063246509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0-D241-9342-6AFBB954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ax val="-6"/>
          <c:min val="-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2H/1H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794683371138307"/>
                  <c:y val="-1.41240257920520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TSSD!$Q$5:$Q$40</c:f>
              <c:numCache>
                <c:formatCode>General</c:formatCode>
                <c:ptCount val="36"/>
                <c:pt idx="0">
                  <c:v>-70.399424119650789</c:v>
                </c:pt>
                <c:pt idx="1">
                  <c:v>-73.883151085507947</c:v>
                </c:pt>
                <c:pt idx="2">
                  <c:v>-75.14459305311415</c:v>
                </c:pt>
                <c:pt idx="3">
                  <c:v>-75.359306579515206</c:v>
                </c:pt>
                <c:pt idx="4">
                  <c:v>-75.34588698411514</c:v>
                </c:pt>
                <c:pt idx="5">
                  <c:v>-76.432874211520499</c:v>
                </c:pt>
                <c:pt idx="6">
                  <c:v>-75.788733632317317</c:v>
                </c:pt>
                <c:pt idx="7">
                  <c:v>-76.097384326518849</c:v>
                </c:pt>
                <c:pt idx="8">
                  <c:v>-75.936349181718072</c:v>
                </c:pt>
                <c:pt idx="9">
                  <c:v>-76.365776234520183</c:v>
                </c:pt>
                <c:pt idx="10">
                  <c:v>-75.855831609317661</c:v>
                </c:pt>
                <c:pt idx="11">
                  <c:v>-77.092351471180905</c:v>
                </c:pt>
                <c:pt idx="12">
                  <c:v>-76.312097852919905</c:v>
                </c:pt>
                <c:pt idx="13">
                  <c:v>-78.633687857131349</c:v>
                </c:pt>
                <c:pt idx="14">
                  <c:v>-79.425443985735257</c:v>
                </c:pt>
                <c:pt idx="15">
                  <c:v>-80.337976472939744</c:v>
                </c:pt>
                <c:pt idx="16">
                  <c:v>-80.968697456742859</c:v>
                </c:pt>
                <c:pt idx="17">
                  <c:v>-81.639677226746173</c:v>
                </c:pt>
                <c:pt idx="18">
                  <c:v>-82.858943323095019</c:v>
                </c:pt>
                <c:pt idx="19">
                  <c:v>-83.572098964355675</c:v>
                </c:pt>
                <c:pt idx="20">
                  <c:v>-84.014945612557852</c:v>
                </c:pt>
                <c:pt idx="21">
                  <c:v>-83.947847635557537</c:v>
                </c:pt>
                <c:pt idx="22">
                  <c:v>-84.524890237760374</c:v>
                </c:pt>
                <c:pt idx="23">
                  <c:v>-83.894169253957259</c:v>
                </c:pt>
                <c:pt idx="24">
                  <c:v>-83.840490872356995</c:v>
                </c:pt>
                <c:pt idx="25">
                  <c:v>-84.527574156840387</c:v>
                </c:pt>
                <c:pt idx="26">
                  <c:v>-85.096565001803185</c:v>
                </c:pt>
                <c:pt idx="27">
                  <c:v>-85.214657441323766</c:v>
                </c:pt>
                <c:pt idx="28">
                  <c:v>-85.665555846765983</c:v>
                </c:pt>
                <c:pt idx="29">
                  <c:v>-84.310176711359304</c:v>
                </c:pt>
                <c:pt idx="30">
                  <c:v>-84.095463184958248</c:v>
                </c:pt>
                <c:pt idx="31">
                  <c:v>-84.36193800790241</c:v>
                </c:pt>
                <c:pt idx="32">
                  <c:v>-84.622661575675139</c:v>
                </c:pt>
                <c:pt idx="33">
                  <c:v>-86.470731570769942</c:v>
                </c:pt>
                <c:pt idx="34">
                  <c:v>-84.883385143447839</c:v>
                </c:pt>
                <c:pt idx="35">
                  <c:v>-83.983633223291037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50-B048-B361-C56554E00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ax val="-70"/>
          <c:min val="-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TSSD!$AC$5:$AC$40</c:f>
              <c:numCache>
                <c:formatCode>General</c:formatCode>
                <c:ptCount val="36"/>
                <c:pt idx="0">
                  <c:v>1851.0548913043481</c:v>
                </c:pt>
                <c:pt idx="1">
                  <c:v>1957.3914254859603</c:v>
                </c:pt>
                <c:pt idx="2">
                  <c:v>2329.3614658986571</c:v>
                </c:pt>
                <c:pt idx="3">
                  <c:v>2583.8016903640437</c:v>
                </c:pt>
                <c:pt idx="4">
                  <c:v>2098.0975914362175</c:v>
                </c:pt>
                <c:pt idx="5">
                  <c:v>1786.0103352586232</c:v>
                </c:pt>
                <c:pt idx="6">
                  <c:v>2026.2162659123053</c:v>
                </c:pt>
                <c:pt idx="7">
                  <c:v>2025.8189783248672</c:v>
                </c:pt>
                <c:pt idx="8">
                  <c:v>2206.3988963108332</c:v>
                </c:pt>
                <c:pt idx="9">
                  <c:v>2146.1131654661981</c:v>
                </c:pt>
                <c:pt idx="10">
                  <c:v>2477.3918200349872</c:v>
                </c:pt>
                <c:pt idx="11">
                  <c:v>2585.4117469284001</c:v>
                </c:pt>
                <c:pt idx="12">
                  <c:v>2811.0474327859129</c:v>
                </c:pt>
                <c:pt idx="13">
                  <c:v>2213.3469302253029</c:v>
                </c:pt>
                <c:pt idx="14">
                  <c:v>1133.1245970269276</c:v>
                </c:pt>
                <c:pt idx="15">
                  <c:v>965.08475357167276</c:v>
                </c:pt>
                <c:pt idx="16">
                  <c:v>779.1709201136722</c:v>
                </c:pt>
                <c:pt idx="17">
                  <c:v>1563.4709427876339</c:v>
                </c:pt>
                <c:pt idx="18">
                  <c:v>1887.0487842946827</c:v>
                </c:pt>
                <c:pt idx="19">
                  <c:v>1827.6761202002515</c:v>
                </c:pt>
                <c:pt idx="20">
                  <c:v>1913.440429981139</c:v>
                </c:pt>
                <c:pt idx="21">
                  <c:v>1533.4133918351777</c:v>
                </c:pt>
                <c:pt idx="22">
                  <c:v>1462.1408961602012</c:v>
                </c:pt>
                <c:pt idx="23">
                  <c:v>1686.3723495475274</c:v>
                </c:pt>
                <c:pt idx="24">
                  <c:v>2377.0920137885869</c:v>
                </c:pt>
                <c:pt idx="25">
                  <c:v>1501.3999508905576</c:v>
                </c:pt>
                <c:pt idx="26">
                  <c:v>1650.5628019323678</c:v>
                </c:pt>
                <c:pt idx="27">
                  <c:v>1055.8410146739493</c:v>
                </c:pt>
                <c:pt idx="28">
                  <c:v>941.44750125038888</c:v>
                </c:pt>
                <c:pt idx="29">
                  <c:v>1040.5083700305338</c:v>
                </c:pt>
                <c:pt idx="30">
                  <c:v>1057.7299762851244</c:v>
                </c:pt>
                <c:pt idx="31">
                  <c:v>963.73895210960029</c:v>
                </c:pt>
                <c:pt idx="32">
                  <c:v>967.77671969594576</c:v>
                </c:pt>
                <c:pt idx="33">
                  <c:v>1409.0877651362209</c:v>
                </c:pt>
                <c:pt idx="34">
                  <c:v>1211.6874709502301</c:v>
                </c:pt>
                <c:pt idx="35">
                  <c:v>1032.0572567233503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9A-F24A-8AFA-E5F5C10B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in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SO42-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TSSD!$O$5:$O$40</c:f>
              <c:numCache>
                <c:formatCode>General</c:formatCode>
                <c:ptCount val="36"/>
                <c:pt idx="0">
                  <c:v>184.65918735822311</c:v>
                </c:pt>
                <c:pt idx="1">
                  <c:v>268.20561934485232</c:v>
                </c:pt>
                <c:pt idx="2">
                  <c:v>282.65019417313647</c:v>
                </c:pt>
                <c:pt idx="3">
                  <c:v>272.63960934102204</c:v>
                </c:pt>
                <c:pt idx="4">
                  <c:v>250.68372368421049</c:v>
                </c:pt>
                <c:pt idx="5">
                  <c:v>262.36432657545737</c:v>
                </c:pt>
                <c:pt idx="6">
                  <c:v>246.44333901143006</c:v>
                </c:pt>
                <c:pt idx="7">
                  <c:v>248.06469670373247</c:v>
                </c:pt>
                <c:pt idx="8">
                  <c:v>231.02702873372823</c:v>
                </c:pt>
                <c:pt idx="9">
                  <c:v>222.89195198325297</c:v>
                </c:pt>
                <c:pt idx="10">
                  <c:v>204.47160780696561</c:v>
                </c:pt>
                <c:pt idx="11">
                  <c:v>181.26332847337949</c:v>
                </c:pt>
                <c:pt idx="12">
                  <c:v>172.3642001496643</c:v>
                </c:pt>
                <c:pt idx="13">
                  <c:v>149.68762915338849</c:v>
                </c:pt>
                <c:pt idx="14">
                  <c:v>132.73379786421313</c:v>
                </c:pt>
                <c:pt idx="15">
                  <c:v>115.21975244104176</c:v>
                </c:pt>
                <c:pt idx="16">
                  <c:v>92.616179650142087</c:v>
                </c:pt>
                <c:pt idx="17">
                  <c:v>79.196937101932605</c:v>
                </c:pt>
                <c:pt idx="18">
                  <c:v>56.088295064340471</c:v>
                </c:pt>
                <c:pt idx="19">
                  <c:v>45.675509726828913</c:v>
                </c:pt>
                <c:pt idx="20">
                  <c:v>42.053483961129494</c:v>
                </c:pt>
                <c:pt idx="21">
                  <c:v>26.810065970656588</c:v>
                </c:pt>
                <c:pt idx="22">
                  <c:v>41.356752909974048</c:v>
                </c:pt>
                <c:pt idx="23">
                  <c:v>29.04949895118477</c:v>
                </c:pt>
                <c:pt idx="24">
                  <c:v>51.23349573824791</c:v>
                </c:pt>
                <c:pt idx="25">
                  <c:v>27.586993581036563</c:v>
                </c:pt>
                <c:pt idx="26">
                  <c:v>27.36452915273134</c:v>
                </c:pt>
                <c:pt idx="27">
                  <c:v>30.198138881577517</c:v>
                </c:pt>
                <c:pt idx="28">
                  <c:v>37.333467315516991</c:v>
                </c:pt>
                <c:pt idx="29">
                  <c:v>49.109950844674927</c:v>
                </c:pt>
                <c:pt idx="30">
                  <c:v>48.451711053861771</c:v>
                </c:pt>
                <c:pt idx="31">
                  <c:v>56.470602394422762</c:v>
                </c:pt>
                <c:pt idx="32">
                  <c:v>61.017181025132594</c:v>
                </c:pt>
                <c:pt idx="33">
                  <c:v>110.20549573644337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8-BB4D-9B5A-3407FD8A4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ax val="3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'DW24'!$L$2:$L$20</c:f>
              <c:numCache>
                <c:formatCode>0.0</c:formatCode>
                <c:ptCount val="19"/>
                <c:pt idx="0">
                  <c:v>143.16295125553913</c:v>
                </c:pt>
                <c:pt idx="1">
                  <c:v>297.41536180714087</c:v>
                </c:pt>
                <c:pt idx="2">
                  <c:v>298.80356445518896</c:v>
                </c:pt>
                <c:pt idx="3">
                  <c:v>332.68173647106067</c:v>
                </c:pt>
                <c:pt idx="4">
                  <c:v>329.18132083234957</c:v>
                </c:pt>
                <c:pt idx="5">
                  <c:v>357.58457407012122</c:v>
                </c:pt>
                <c:pt idx="6">
                  <c:v>382.25139834823489</c:v>
                </c:pt>
                <c:pt idx="7">
                  <c:v>376.36325746811747</c:v>
                </c:pt>
                <c:pt idx="8">
                  <c:v>366.01782465104691</c:v>
                </c:pt>
                <c:pt idx="9">
                  <c:v>363.9905702318531</c:v>
                </c:pt>
                <c:pt idx="10">
                  <c:v>338.02300744937236</c:v>
                </c:pt>
                <c:pt idx="11">
                  <c:v>318.5752076802155</c:v>
                </c:pt>
                <c:pt idx="12">
                  <c:v>349.18213914173879</c:v>
                </c:pt>
                <c:pt idx="13">
                  <c:v>353.32907924986574</c:v>
                </c:pt>
                <c:pt idx="14">
                  <c:v>371.73290189657024</c:v>
                </c:pt>
                <c:pt idx="15">
                  <c:v>367.71565004938395</c:v>
                </c:pt>
                <c:pt idx="16">
                  <c:v>361.40209644313887</c:v>
                </c:pt>
                <c:pt idx="17">
                  <c:v>367.22220369724619</c:v>
                </c:pt>
                <c:pt idx="18">
                  <c:v>398.63859374165401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4-1C42-81E6-95B1F49C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SO42-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'DW24'!$N$2:$N$20</c:f>
              <c:numCache>
                <c:formatCode>0.0</c:formatCode>
                <c:ptCount val="19"/>
                <c:pt idx="0">
                  <c:v>157.26908419497784</c:v>
                </c:pt>
                <c:pt idx="1">
                  <c:v>199.47494349374486</c:v>
                </c:pt>
                <c:pt idx="2">
                  <c:v>217.06243563460535</c:v>
                </c:pt>
                <c:pt idx="3">
                  <c:v>228.88394993403321</c:v>
                </c:pt>
                <c:pt idx="4">
                  <c:v>223.90289897811198</c:v>
                </c:pt>
                <c:pt idx="5">
                  <c:v>248.85144618176005</c:v>
                </c:pt>
                <c:pt idx="6">
                  <c:v>254.69412338051498</c:v>
                </c:pt>
                <c:pt idx="7">
                  <c:v>256.24777133799273</c:v>
                </c:pt>
                <c:pt idx="8">
                  <c:v>283.21797382851446</c:v>
                </c:pt>
                <c:pt idx="9">
                  <c:v>253.16014938020896</c:v>
                </c:pt>
                <c:pt idx="10">
                  <c:v>260.77596669692321</c:v>
                </c:pt>
                <c:pt idx="11">
                  <c:v>247.46384702447779</c:v>
                </c:pt>
                <c:pt idx="12">
                  <c:v>231.19197552418223</c:v>
                </c:pt>
                <c:pt idx="13">
                  <c:v>263.33508087592355</c:v>
                </c:pt>
                <c:pt idx="14">
                  <c:v>264.20606642803722</c:v>
                </c:pt>
                <c:pt idx="15">
                  <c:v>246.87106763008782</c:v>
                </c:pt>
                <c:pt idx="16">
                  <c:v>245.81062830086438</c:v>
                </c:pt>
                <c:pt idx="17">
                  <c:v>186.30746282930093</c:v>
                </c:pt>
                <c:pt idx="18">
                  <c:v>241.78487078251575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E-6B47-869F-FB558059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mg/L</a:t>
            </a:r>
          </a:p>
        </c:rich>
      </c:tx>
      <c:layout>
        <c:manualLayout>
          <c:xMode val="edge"/>
          <c:yMode val="edge"/>
          <c:x val="0.44074300087489071"/>
          <c:y val="7.97607178464606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'DW24'!$AB$2:$AB$20</c:f>
              <c:numCache>
                <c:formatCode>0.000</c:formatCode>
                <c:ptCount val="19"/>
                <c:pt idx="0">
                  <c:v>0.55527474150664691</c:v>
                </c:pt>
                <c:pt idx="1">
                  <c:v>2.0197565838736184</c:v>
                </c:pt>
                <c:pt idx="2">
                  <c:v>2.4825797168019328</c:v>
                </c:pt>
                <c:pt idx="3">
                  <c:v>2.3933291458727703</c:v>
                </c:pt>
                <c:pt idx="4">
                  <c:v>2.8942229806751874</c:v>
                </c:pt>
                <c:pt idx="5">
                  <c:v>2.4156611878968999</c:v>
                </c:pt>
                <c:pt idx="6">
                  <c:v>2.0971698979218942</c:v>
                </c:pt>
                <c:pt idx="7">
                  <c:v>2.3997880538943739</c:v>
                </c:pt>
                <c:pt idx="8">
                  <c:v>2.5903814805583254</c:v>
                </c:pt>
                <c:pt idx="9">
                  <c:v>2.8100027761782069</c:v>
                </c:pt>
                <c:pt idx="10">
                  <c:v>2.4506895364487149</c:v>
                </c:pt>
                <c:pt idx="11">
                  <c:v>2.3074411857174928</c:v>
                </c:pt>
                <c:pt idx="12">
                  <c:v>3.1168630109029909</c:v>
                </c:pt>
                <c:pt idx="13">
                  <c:v>2.6642376268759747</c:v>
                </c:pt>
                <c:pt idx="14">
                  <c:v>2.6438941339886743</c:v>
                </c:pt>
                <c:pt idx="15">
                  <c:v>2.8710035868378641</c:v>
                </c:pt>
                <c:pt idx="16">
                  <c:v>3.1529826635100844</c:v>
                </c:pt>
                <c:pt idx="17">
                  <c:v>3.184897824165851</c:v>
                </c:pt>
                <c:pt idx="18">
                  <c:v>3.4124986201370953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9-3C4D-A77B-FDF35F6C7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18O/16O</a:t>
            </a:r>
          </a:p>
        </c:rich>
      </c:tx>
      <c:layout>
        <c:manualLayout>
          <c:xMode val="edge"/>
          <c:yMode val="edge"/>
          <c:x val="0.44074300087489071"/>
          <c:y val="7.97607178464606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'DW24'!$O$2:$O$20</c:f>
              <c:numCache>
                <c:formatCode>0.0</c:formatCode>
                <c:ptCount val="19"/>
                <c:pt idx="0">
                  <c:v>-6.9988722775831</c:v>
                </c:pt>
                <c:pt idx="1">
                  <c:v>-6.7742946854414896</c:v>
                </c:pt>
                <c:pt idx="2">
                  <c:v>-6.8204539848265604</c:v>
                </c:pt>
                <c:pt idx="3">
                  <c:v>-6.7965968961950898</c:v>
                </c:pt>
                <c:pt idx="4">
                  <c:v>-6.7371840417166498</c:v>
                </c:pt>
                <c:pt idx="5">
                  <c:v>-6.7421280459232502</c:v>
                </c:pt>
                <c:pt idx="6">
                  <c:v>-6.7521630479350598</c:v>
                </c:pt>
                <c:pt idx="7">
                  <c:v>-6.7135071788200396</c:v>
                </c:pt>
                <c:pt idx="8">
                  <c:v>-6.8309637513411703</c:v>
                </c:pt>
                <c:pt idx="9">
                  <c:v>-6.7160372337423002</c:v>
                </c:pt>
                <c:pt idx="10">
                  <c:v>-6.7186949772877398</c:v>
                </c:pt>
                <c:pt idx="11">
                  <c:v>-6.7261125004171403</c:v>
                </c:pt>
                <c:pt idx="12">
                  <c:v>-6.71144333905431</c:v>
                </c:pt>
                <c:pt idx="13">
                  <c:v>-6.65212411370669</c:v>
                </c:pt>
                <c:pt idx="14">
                  <c:v>-6.8653667343698404</c:v>
                </c:pt>
                <c:pt idx="15">
                  <c:v>-6.9302754395667003</c:v>
                </c:pt>
                <c:pt idx="16">
                  <c:v>-7.2040591526292603</c:v>
                </c:pt>
                <c:pt idx="17">
                  <c:v>-6.3280859506112099</c:v>
                </c:pt>
                <c:pt idx="18">
                  <c:v>-6.6676635157831798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D6-CA40-999F-9CDA96D7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2H/1H</a:t>
            </a:r>
          </a:p>
        </c:rich>
      </c:tx>
      <c:layout>
        <c:manualLayout>
          <c:xMode val="edge"/>
          <c:yMode val="edge"/>
          <c:x val="0.44074300087489071"/>
          <c:y val="7.97607178464606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'DW24'!$P$2:$P$20</c:f>
              <c:numCache>
                <c:formatCode>0.0</c:formatCode>
                <c:ptCount val="19"/>
                <c:pt idx="0">
                  <c:v>-70.441034456788501</c:v>
                </c:pt>
                <c:pt idx="1">
                  <c:v>-73.635005354691799</c:v>
                </c:pt>
                <c:pt idx="2">
                  <c:v>-73.029349018575502</c:v>
                </c:pt>
                <c:pt idx="3">
                  <c:v>-73.591846527616497</c:v>
                </c:pt>
                <c:pt idx="4">
                  <c:v>-73.070350765010602</c:v>
                </c:pt>
                <c:pt idx="5">
                  <c:v>-72.920094009698303</c:v>
                </c:pt>
                <c:pt idx="6">
                  <c:v>-72.821233772475793</c:v>
                </c:pt>
                <c:pt idx="7">
                  <c:v>-73.058491456101194</c:v>
                </c:pt>
                <c:pt idx="8">
                  <c:v>-74.113130422264902</c:v>
                </c:pt>
                <c:pt idx="9">
                  <c:v>-74.284818945632296</c:v>
                </c:pt>
                <c:pt idx="10">
                  <c:v>-73.940402421732202</c:v>
                </c:pt>
                <c:pt idx="11">
                  <c:v>-73.059599790352706</c:v>
                </c:pt>
                <c:pt idx="12">
                  <c:v>-71.414414645951794</c:v>
                </c:pt>
                <c:pt idx="13">
                  <c:v>-71.446942998270003</c:v>
                </c:pt>
                <c:pt idx="14">
                  <c:v>-71.881425914990203</c:v>
                </c:pt>
                <c:pt idx="15">
                  <c:v>-74.662257739026003</c:v>
                </c:pt>
                <c:pt idx="16">
                  <c:v>-74.267804624486899</c:v>
                </c:pt>
                <c:pt idx="17">
                  <c:v>-71.945071049361104</c:v>
                </c:pt>
                <c:pt idx="18">
                  <c:v>-73.644804247716607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A-804D-9914-72E1073D9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'DW25'!$M$2:$M$27</c:f>
              <c:numCache>
                <c:formatCode>General</c:formatCode>
                <c:ptCount val="26"/>
                <c:pt idx="0">
                  <c:v>156.042</c:v>
                </c:pt>
                <c:pt idx="1">
                  <c:v>283.334</c:v>
                </c:pt>
                <c:pt idx="2">
                  <c:v>278.07600000000002</c:v>
                </c:pt>
                <c:pt idx="3">
                  <c:v>267.14600000000002</c:v>
                </c:pt>
                <c:pt idx="4">
                  <c:v>267.28199999999998</c:v>
                </c:pt>
                <c:pt idx="5">
                  <c:v>272.42599999999999</c:v>
                </c:pt>
                <c:pt idx="6">
                  <c:v>274.87400000000002</c:v>
                </c:pt>
                <c:pt idx="7">
                  <c:v>277.98099999999999</c:v>
                </c:pt>
                <c:pt idx="8">
                  <c:v>272.44200000000001</c:v>
                </c:pt>
                <c:pt idx="9">
                  <c:v>276.65499999999997</c:v>
                </c:pt>
                <c:pt idx="10">
                  <c:v>275.60500000000002</c:v>
                </c:pt>
                <c:pt idx="11">
                  <c:v>283.762</c:v>
                </c:pt>
                <c:pt idx="12">
                  <c:v>283.54000000000002</c:v>
                </c:pt>
                <c:pt idx="13">
                  <c:v>279.06</c:v>
                </c:pt>
                <c:pt idx="14">
                  <c:v>281.92500000000001</c:v>
                </c:pt>
                <c:pt idx="15">
                  <c:v>307.69099999999997</c:v>
                </c:pt>
                <c:pt idx="16">
                  <c:v>280.74900000000002</c:v>
                </c:pt>
                <c:pt idx="17">
                  <c:v>272.36200000000002</c:v>
                </c:pt>
                <c:pt idx="18">
                  <c:v>274.077</c:v>
                </c:pt>
                <c:pt idx="19">
                  <c:v>276.846</c:v>
                </c:pt>
                <c:pt idx="20">
                  <c:v>273.50700000000001</c:v>
                </c:pt>
                <c:pt idx="21">
                  <c:v>273.512</c:v>
                </c:pt>
                <c:pt idx="22">
                  <c:v>272.91399999999999</c:v>
                </c:pt>
                <c:pt idx="23">
                  <c:v>276.69600000000003</c:v>
                </c:pt>
                <c:pt idx="24">
                  <c:v>264.721</c:v>
                </c:pt>
                <c:pt idx="25">
                  <c:v>260.66199999999998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0-3D43-84C7-CE8221C13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in val="1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SO42-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'DW25'!$P$2:$P$27</c:f>
              <c:numCache>
                <c:formatCode>General</c:formatCode>
                <c:ptCount val="26"/>
                <c:pt idx="1">
                  <c:v>245.72</c:v>
                </c:pt>
                <c:pt idx="2">
                  <c:v>250.648</c:v>
                </c:pt>
                <c:pt idx="3">
                  <c:v>243.62899999999999</c:v>
                </c:pt>
                <c:pt idx="4">
                  <c:v>241.096</c:v>
                </c:pt>
                <c:pt idx="5">
                  <c:v>237.62700000000001</c:v>
                </c:pt>
                <c:pt idx="6">
                  <c:v>237.06200000000001</c:v>
                </c:pt>
                <c:pt idx="7">
                  <c:v>224.374</c:v>
                </c:pt>
                <c:pt idx="8">
                  <c:v>259.90899999999999</c:v>
                </c:pt>
                <c:pt idx="9">
                  <c:v>229.12700000000001</c:v>
                </c:pt>
                <c:pt idx="10">
                  <c:v>200.59899999999999</c:v>
                </c:pt>
                <c:pt idx="11">
                  <c:v>184.2</c:v>
                </c:pt>
                <c:pt idx="12">
                  <c:v>154.56700000000001</c:v>
                </c:pt>
                <c:pt idx="13">
                  <c:v>143.00399999999999</c:v>
                </c:pt>
                <c:pt idx="14">
                  <c:v>132.51300000000001</c:v>
                </c:pt>
                <c:pt idx="15">
                  <c:v>122.41500000000001</c:v>
                </c:pt>
                <c:pt idx="16">
                  <c:v>91.978999999999999</c:v>
                </c:pt>
                <c:pt idx="17">
                  <c:v>122.03700000000001</c:v>
                </c:pt>
                <c:pt idx="18">
                  <c:v>97.650999999999996</c:v>
                </c:pt>
                <c:pt idx="19">
                  <c:v>88.268000000000001</c:v>
                </c:pt>
                <c:pt idx="20">
                  <c:v>61.122</c:v>
                </c:pt>
                <c:pt idx="21">
                  <c:v>64.463999999999999</c:v>
                </c:pt>
                <c:pt idx="22">
                  <c:v>48.715000000000003</c:v>
                </c:pt>
                <c:pt idx="23">
                  <c:v>57.186</c:v>
                </c:pt>
                <c:pt idx="24">
                  <c:v>38.768000000000001</c:v>
                </c:pt>
                <c:pt idx="25">
                  <c:v>43.86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1-BE46-A8B7-FF04B335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300"/>
          <c:min val="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'DW25'!$AD$2:$AD$27</c:f>
              <c:numCache>
                <c:formatCode>General</c:formatCode>
                <c:ptCount val="26"/>
                <c:pt idx="0">
                  <c:v>0.16899999999999998</c:v>
                </c:pt>
                <c:pt idx="1">
                  <c:v>1.0669999999999999</c:v>
                </c:pt>
                <c:pt idx="2">
                  <c:v>0.63500000000000001</c:v>
                </c:pt>
                <c:pt idx="3">
                  <c:v>1.393</c:v>
                </c:pt>
                <c:pt idx="5">
                  <c:v>1.544</c:v>
                </c:pt>
                <c:pt idx="6">
                  <c:v>2.0499999999999998</c:v>
                </c:pt>
                <c:pt idx="7">
                  <c:v>1.6919999999999999</c:v>
                </c:pt>
                <c:pt idx="8">
                  <c:v>0.5</c:v>
                </c:pt>
                <c:pt idx="9">
                  <c:v>0.76200000000000001</c:v>
                </c:pt>
                <c:pt idx="10">
                  <c:v>0.94399999999999995</c:v>
                </c:pt>
                <c:pt idx="11">
                  <c:v>1.089</c:v>
                </c:pt>
                <c:pt idx="12">
                  <c:v>0.67599999999999993</c:v>
                </c:pt>
                <c:pt idx="13">
                  <c:v>0.71699999999999997</c:v>
                </c:pt>
                <c:pt idx="14">
                  <c:v>0.70499999999999996</c:v>
                </c:pt>
                <c:pt idx="15">
                  <c:v>0.77799999999999991</c:v>
                </c:pt>
                <c:pt idx="16">
                  <c:v>0.59099999999999997</c:v>
                </c:pt>
                <c:pt idx="17">
                  <c:v>0.66400000000000003</c:v>
                </c:pt>
                <c:pt idx="18">
                  <c:v>0.61599999999999999</c:v>
                </c:pt>
                <c:pt idx="19">
                  <c:v>1.1219999999999999</c:v>
                </c:pt>
                <c:pt idx="20">
                  <c:v>1.736</c:v>
                </c:pt>
                <c:pt idx="21">
                  <c:v>0.58500000000000008</c:v>
                </c:pt>
                <c:pt idx="22">
                  <c:v>0.73499999999999999</c:v>
                </c:pt>
                <c:pt idx="23">
                  <c:v>0.57699999999999996</c:v>
                </c:pt>
                <c:pt idx="24">
                  <c:v>0.61599999999999999</c:v>
                </c:pt>
                <c:pt idx="25">
                  <c:v>0.45100000000000001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9-1D47-8FAE-2A3ADEE96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3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18O/16O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'DW25'!$Q$2:$Q$27</c:f>
              <c:numCache>
                <c:formatCode>0.00</c:formatCode>
                <c:ptCount val="26"/>
                <c:pt idx="0">
                  <c:v>-7.5927450701942218</c:v>
                </c:pt>
                <c:pt idx="1">
                  <c:v>-7.706542794801349</c:v>
                </c:pt>
                <c:pt idx="2">
                  <c:v>-7.6766511391806844</c:v>
                </c:pt>
                <c:pt idx="3">
                  <c:v>-7.7858073196828217</c:v>
                </c:pt>
                <c:pt idx="4">
                  <c:v>-7.8203702300355715</c:v>
                </c:pt>
                <c:pt idx="5">
                  <c:v>-7.891360937034718</c:v>
                </c:pt>
                <c:pt idx="6">
                  <c:v>-8.19649811348744</c:v>
                </c:pt>
                <c:pt idx="7">
                  <c:v>-8.0996705870455372</c:v>
                </c:pt>
                <c:pt idx="8">
                  <c:v>-8.0871499735394572</c:v>
                </c:pt>
                <c:pt idx="9">
                  <c:v>-8.1463810812567363</c:v>
                </c:pt>
                <c:pt idx="10">
                  <c:v>-8.0416955476652383</c:v>
                </c:pt>
                <c:pt idx="11">
                  <c:v>-8.2451468055717143</c:v>
                </c:pt>
                <c:pt idx="12">
                  <c:v>-8.1520764927956826</c:v>
                </c:pt>
                <c:pt idx="13">
                  <c:v>-8.2930509939670163</c:v>
                </c:pt>
                <c:pt idx="14">
                  <c:v>-8.217195805131416</c:v>
                </c:pt>
                <c:pt idx="15">
                  <c:v>-8.1528836088732017</c:v>
                </c:pt>
                <c:pt idx="16">
                  <c:v>-8.0849927533363015</c:v>
                </c:pt>
                <c:pt idx="17">
                  <c:v>-8.0016474884493967</c:v>
                </c:pt>
                <c:pt idx="18">
                  <c:v>-7.942884275595655</c:v>
                </c:pt>
                <c:pt idx="19">
                  <c:v>-8.2877988342393873</c:v>
                </c:pt>
                <c:pt idx="20">
                  <c:v>-8.3395661077751626</c:v>
                </c:pt>
                <c:pt idx="21">
                  <c:v>-8.2481111724444496</c:v>
                </c:pt>
                <c:pt idx="22">
                  <c:v>-8.2722894375720024</c:v>
                </c:pt>
                <c:pt idx="23">
                  <c:v>-8.2225373261808006</c:v>
                </c:pt>
                <c:pt idx="24">
                  <c:v>-8.4095705898285029</c:v>
                </c:pt>
                <c:pt idx="25">
                  <c:v>-8.4949155755172665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B0-F548-850D-BFADED6F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-7"/>
          <c:min val="-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2H/1H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910117971304514E-2"/>
          <c:y val="0.10826030707794854"/>
          <c:w val="0.85273315650647774"/>
          <c:h val="0.8808722207750608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'DW25'!$R$2:$R$27</c:f>
              <c:numCache>
                <c:formatCode>0.00</c:formatCode>
                <c:ptCount val="26"/>
                <c:pt idx="0">
                  <c:v>-74.594865291141801</c:v>
                </c:pt>
                <c:pt idx="1">
                  <c:v>-77.750895160871053</c:v>
                </c:pt>
                <c:pt idx="2">
                  <c:v>-78.526097410730401</c:v>
                </c:pt>
                <c:pt idx="3">
                  <c:v>-78.514232031995306</c:v>
                </c:pt>
                <c:pt idx="4">
                  <c:v>-78.478366525691001</c:v>
                </c:pt>
                <c:pt idx="5">
                  <c:v>-78.35575075313406</c:v>
                </c:pt>
                <c:pt idx="6">
                  <c:v>-77.779867411517316</c:v>
                </c:pt>
                <c:pt idx="7">
                  <c:v>-78.548120286948034</c:v>
                </c:pt>
                <c:pt idx="8">
                  <c:v>-78.445660506172686</c:v>
                </c:pt>
                <c:pt idx="9">
                  <c:v>-78.052829111821083</c:v>
                </c:pt>
                <c:pt idx="10">
                  <c:v>-78.850124698132305</c:v>
                </c:pt>
                <c:pt idx="11">
                  <c:v>-79.024258125661845</c:v>
                </c:pt>
                <c:pt idx="12">
                  <c:v>-79.208862692247493</c:v>
                </c:pt>
                <c:pt idx="13">
                  <c:v>-78.91264163214673</c:v>
                </c:pt>
                <c:pt idx="14">
                  <c:v>-78.803015484362987</c:v>
                </c:pt>
                <c:pt idx="15">
                  <c:v>-79.18606911824665</c:v>
                </c:pt>
                <c:pt idx="16">
                  <c:v>-79.387561693538046</c:v>
                </c:pt>
                <c:pt idx="17">
                  <c:v>-79.837645457677894</c:v>
                </c:pt>
                <c:pt idx="18">
                  <c:v>-80.351468921489825</c:v>
                </c:pt>
                <c:pt idx="19">
                  <c:v>-80.357469888694951</c:v>
                </c:pt>
                <c:pt idx="20">
                  <c:v>-80.548213848786617</c:v>
                </c:pt>
                <c:pt idx="21">
                  <c:v>-80.454353334296201</c:v>
                </c:pt>
                <c:pt idx="22">
                  <c:v>-81.462889949897686</c:v>
                </c:pt>
                <c:pt idx="23">
                  <c:v>-80.42470765840244</c:v>
                </c:pt>
                <c:pt idx="24">
                  <c:v>-80.787442556069692</c:v>
                </c:pt>
                <c:pt idx="25">
                  <c:v>-82.215515618335957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2-A147-B574-DAF132F1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-7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'DW25'!$N$2:$N$27</c:f>
              <c:numCache>
                <c:formatCode>General</c:formatCode>
                <c:ptCount val="26"/>
                <c:pt idx="1">
                  <c:v>1.7010000000000001</c:v>
                </c:pt>
                <c:pt idx="2">
                  <c:v>1.4570000000000001</c:v>
                </c:pt>
                <c:pt idx="3">
                  <c:v>1.44</c:v>
                </c:pt>
                <c:pt idx="4">
                  <c:v>1.804</c:v>
                </c:pt>
                <c:pt idx="5">
                  <c:v>1.532</c:v>
                </c:pt>
                <c:pt idx="6">
                  <c:v>1.603</c:v>
                </c:pt>
                <c:pt idx="7">
                  <c:v>1.4670000000000001</c:v>
                </c:pt>
                <c:pt idx="8">
                  <c:v>1.3360000000000001</c:v>
                </c:pt>
                <c:pt idx="9">
                  <c:v>1.528</c:v>
                </c:pt>
                <c:pt idx="10">
                  <c:v>1.3140000000000001</c:v>
                </c:pt>
                <c:pt idx="11">
                  <c:v>1.2529999999999999</c:v>
                </c:pt>
                <c:pt idx="12">
                  <c:v>1.2190000000000001</c:v>
                </c:pt>
                <c:pt idx="13">
                  <c:v>0</c:v>
                </c:pt>
                <c:pt idx="14">
                  <c:v>1.1279999999999999</c:v>
                </c:pt>
                <c:pt idx="15">
                  <c:v>1.2709999999999999</c:v>
                </c:pt>
                <c:pt idx="16">
                  <c:v>1.175</c:v>
                </c:pt>
                <c:pt idx="17">
                  <c:v>1.208</c:v>
                </c:pt>
                <c:pt idx="18">
                  <c:v>2.2480000000000002</c:v>
                </c:pt>
                <c:pt idx="19">
                  <c:v>1.1830000000000001</c:v>
                </c:pt>
                <c:pt idx="20">
                  <c:v>1.212</c:v>
                </c:pt>
                <c:pt idx="21">
                  <c:v>2.294</c:v>
                </c:pt>
                <c:pt idx="22">
                  <c:v>1.17</c:v>
                </c:pt>
                <c:pt idx="23">
                  <c:v>1.1950000000000001</c:v>
                </c:pt>
                <c:pt idx="24">
                  <c:v>1.21</c:v>
                </c:pt>
                <c:pt idx="25">
                  <c:v>1.288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9-E44F-83CE-537F14385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3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86526684164478"/>
                  <c:y val="-0.149832677165354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'Diffusion parameters'!$P$35:$P$37</c:f>
              <c:numCache>
                <c:formatCode>General</c:formatCode>
                <c:ptCount val="3"/>
                <c:pt idx="0">
                  <c:v>3.6609921288669233E-3</c:v>
                </c:pt>
                <c:pt idx="1">
                  <c:v>3.4346556757685045E-3</c:v>
                </c:pt>
                <c:pt idx="2">
                  <c:v>3.3540164346805303E-3</c:v>
                </c:pt>
              </c:numCache>
            </c:numRef>
          </c:xVal>
          <c:yVal>
            <c:numRef>
              <c:f>'Diffusion parameters'!$R$35:$R$37</c:f>
              <c:numCache>
                <c:formatCode>General</c:formatCode>
                <c:ptCount val="3"/>
                <c:pt idx="0">
                  <c:v>-8.9956786262173569</c:v>
                </c:pt>
                <c:pt idx="1">
                  <c:v>-8.7670038896078459</c:v>
                </c:pt>
                <c:pt idx="2">
                  <c:v>-8.6382721639824069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9-424A-AA92-386784BF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517679"/>
        <c:axId val="1851718335"/>
      </c:scatterChart>
      <c:valAx>
        <c:axId val="185151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18335"/>
        <c:crosses val="autoZero"/>
        <c:crossBetween val="midCat"/>
      </c:valAx>
      <c:valAx>
        <c:axId val="185171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1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35277</xdr:colOff>
      <xdr:row>4</xdr:row>
      <xdr:rowOff>35277</xdr:rowOff>
    </xdr:from>
    <xdr:to>
      <xdr:col>5</xdr:col>
      <xdr:colOff>388056</xdr:colOff>
      <xdr:row>30</xdr:row>
      <xdr:rowOff>23519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D9E1C-091D-8342-8FD0-3EE8F7756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470371</xdr:colOff>
      <xdr:row>4</xdr:row>
      <xdr:rowOff>35277</xdr:rowOff>
    </xdr:from>
    <xdr:to>
      <xdr:col>21</xdr:col>
      <xdr:colOff>329261</xdr:colOff>
      <xdr:row>30</xdr:row>
      <xdr:rowOff>23518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7F74E-A8E4-B847-B427-B76F2BE87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329259</xdr:colOff>
      <xdr:row>4</xdr:row>
      <xdr:rowOff>35278</xdr:rowOff>
    </xdr:from>
    <xdr:to>
      <xdr:col>27</xdr:col>
      <xdr:colOff>540927</xdr:colOff>
      <xdr:row>30</xdr:row>
      <xdr:rowOff>23519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6A6CCD-4F89-FA40-BB41-43E49BBCA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42</xdr:row>
      <xdr:rowOff>94075</xdr:rowOff>
    </xdr:from>
    <xdr:to>
      <xdr:col>6</xdr:col>
      <xdr:colOff>893233</xdr:colOff>
      <xdr:row>67</xdr:row>
      <xdr:rowOff>210883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4CC6621-77B5-F6F8-10AC-793161589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6205"/>
          <a:ext cx="7772400" cy="6290419"/>
        </a:xfrm>
        <a:prstGeom prst="rect">
          <a:avLst/>
        </a:prstGeom>
      </xdr:spPr>
    </xdr:pic>
    <xdr:clientData/>
  </xdr:twoCellAnchor>
  <xdr:twoCellAnchor editAs="oneCell">
    <xdr:from>
      <xdr:col>6</xdr:col>
      <xdr:colOff>908540</xdr:colOff>
      <xdr:row>51</xdr:row>
      <xdr:rowOff>128472</xdr:rowOff>
    </xdr:from>
    <xdr:to>
      <xdr:col>10</xdr:col>
      <xdr:colOff>744901</xdr:colOff>
      <xdr:row>67</xdr:row>
      <xdr:rowOff>145825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324372-5AE1-F49A-9A3C-CF5A3DAB6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74" r="7407"/>
        <a:stretch>
          <a:fillRect/>
        </a:stretch>
      </xdr:blipFill>
      <xdr:spPr>
        <a:xfrm>
          <a:off x="7757045" y="12519874"/>
          <a:ext cx="4061781" cy="3815484"/>
        </a:xfrm>
        <a:prstGeom prst="rect">
          <a:avLst/>
        </a:prstGeom>
      </xdr:spPr>
    </xdr:pic>
    <xdr:clientData/>
  </xdr:twoCellAnchor>
  <xdr:twoCellAnchor>
    <xdr:from>
      <xdr:col>5</xdr:col>
      <xdr:colOff>399816</xdr:colOff>
      <xdr:row>4</xdr:row>
      <xdr:rowOff>35278</xdr:rowOff>
    </xdr:from>
    <xdr:to>
      <xdr:col>9</xdr:col>
      <xdr:colOff>976020</xdr:colOff>
      <xdr:row>30</xdr:row>
      <xdr:rowOff>23520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82D102-8EAD-3846-9A5C-E5D99FC48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999536</xdr:colOff>
      <xdr:row>4</xdr:row>
      <xdr:rowOff>23519</xdr:rowOff>
    </xdr:from>
    <xdr:to>
      <xdr:col>15</xdr:col>
      <xdr:colOff>470371</xdr:colOff>
      <xdr:row>30</xdr:row>
      <xdr:rowOff>11761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0C04DA-E14F-B34B-8626-6371A0C69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260350</xdr:colOff>
      <xdr:row>20</xdr:row>
      <xdr:rowOff>19050</xdr:rowOff>
    </xdr:from>
    <xdr:to>
      <xdr:col>7</xdr:col>
      <xdr:colOff>425450</xdr:colOff>
      <xdr:row>51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C0014-7041-6954-D17B-153BC78D1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533400</xdr:colOff>
      <xdr:row>51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0CE70-E57D-7E4C-944D-E4D529582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660400</xdr:colOff>
      <xdr:row>20</xdr:row>
      <xdr:rowOff>38100</xdr:rowOff>
    </xdr:from>
    <xdr:to>
      <xdr:col>21</xdr:col>
      <xdr:colOff>520700</xdr:colOff>
      <xdr:row>51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77C85B-CE93-4149-B852-15D4560A2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609600</xdr:colOff>
      <xdr:row>20</xdr:row>
      <xdr:rowOff>50800</xdr:rowOff>
    </xdr:from>
    <xdr:to>
      <xdr:col>28</xdr:col>
      <xdr:colOff>469900</xdr:colOff>
      <xdr:row>51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F7CC92-3EC6-B64D-8F6B-FD6C44AF6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533400</xdr:colOff>
      <xdr:row>20</xdr:row>
      <xdr:rowOff>50800</xdr:rowOff>
    </xdr:from>
    <xdr:to>
      <xdr:col>35</xdr:col>
      <xdr:colOff>393700</xdr:colOff>
      <xdr:row>51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95EE44-EE12-1444-815C-22633CEFA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19050</xdr:rowOff>
    </xdr:from>
    <xdr:to>
      <xdr:col>8</xdr:col>
      <xdr:colOff>584200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655D4-63EB-F514-7476-32065649A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15</xdr:col>
      <xdr:colOff>196850</xdr:colOff>
      <xdr:row>31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4C0A5-A0D3-A545-A016-B60D7A0E8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311727</xdr:colOff>
      <xdr:row>1</xdr:row>
      <xdr:rowOff>46181</xdr:rowOff>
    </xdr:from>
    <xdr:to>
      <xdr:col>21</xdr:col>
      <xdr:colOff>508578</xdr:colOff>
      <xdr:row>32</xdr:row>
      <xdr:rowOff>22513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095A5-92FF-CE4E-BF2D-FC5E7C7F3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531092</xdr:colOff>
      <xdr:row>1</xdr:row>
      <xdr:rowOff>23091</xdr:rowOff>
    </xdr:from>
    <xdr:to>
      <xdr:col>28</xdr:col>
      <xdr:colOff>58306</xdr:colOff>
      <xdr:row>31</xdr:row>
      <xdr:rowOff>207241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6DA338-D4B4-524B-AFB0-FC0D0AC83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1</xdr:row>
      <xdr:rowOff>0</xdr:rowOff>
    </xdr:from>
    <xdr:to>
      <xdr:col>34</xdr:col>
      <xdr:colOff>196851</xdr:colOff>
      <xdr:row>31</xdr:row>
      <xdr:rowOff>184150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126E82-299E-FF44-BDAE-5B19D0C20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300181</xdr:colOff>
      <xdr:row>32</xdr:row>
      <xdr:rowOff>127000</xdr:rowOff>
    </xdr:from>
    <xdr:to>
      <xdr:col>21</xdr:col>
      <xdr:colOff>497032</xdr:colOff>
      <xdr:row>63</xdr:row>
      <xdr:rowOff>103332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C1EC8E-2BF6-4D4A-9A8A-9E5FBEB3D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101600</xdr:rowOff>
    </xdr:from>
    <xdr:to>
      <xdr:col>9</xdr:col>
      <xdr:colOff>312238</xdr:colOff>
      <xdr:row>30</xdr:row>
      <xdr:rowOff>120488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2F441-7503-1D45-934A-659948C0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0"/>
          <a:ext cx="7741738" cy="6051388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1</xdr:row>
      <xdr:rowOff>38100</xdr:rowOff>
    </xdr:from>
    <xdr:to>
      <xdr:col>14</xdr:col>
      <xdr:colOff>480381</xdr:colOff>
      <xdr:row>18</xdr:row>
      <xdr:rowOff>56284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DE931D-004E-8243-88F6-244C7CED3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74" r="7407"/>
        <a:stretch>
          <a:fillRect/>
        </a:stretch>
      </xdr:blipFill>
      <xdr:spPr>
        <a:xfrm>
          <a:off x="7975600" y="279400"/>
          <a:ext cx="4061781" cy="3815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290945</xdr:colOff>
      <xdr:row>71</xdr:row>
      <xdr:rowOff>86953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7AA9CB-6F45-8EB7-93AC-A9B6EF099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8273"/>
          <a:ext cx="7772400" cy="8191862"/>
        </a:xfrm>
        <a:prstGeom prst="rect">
          <a:avLst/>
        </a:prstGeom>
      </xdr:spPr>
    </xdr:pic>
    <xdr:clientData/>
  </xdr:twoCellAnchor>
  <xdr:twoCellAnchor>
    <xdr:from>
      <xdr:col>9</xdr:col>
      <xdr:colOff>446248</xdr:colOff>
      <xdr:row>38</xdr:row>
      <xdr:rowOff>172207</xdr:rowOff>
    </xdr:from>
    <xdr:to>
      <xdr:col>15</xdr:col>
      <xdr:colOff>535963</xdr:colOff>
      <xdr:row>58</xdr:row>
      <xdr:rowOff>139816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A2A974-F135-711C-825D-1BD384F46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CECF-4970-6944-97C8-81B0EE7A7087}">
  <dimension ref="A1:AK328"/>
  <sheetViews>
    <sheetView topLeftCell="A2" zoomScale="107" workbookViewId="0">
      <selection activeCell="H42" sqref="H42:K50"/>
    </sheetView>
  </sheetViews>
  <sheetFormatPr baseColWidth="10" defaultColWidth="10.83203125" defaultRowHeight="19" x14ac:dyDescent="0.25"/>
  <cols>
    <col min="1" max="1" width="17.83203125" style="7" customWidth="1"/>
    <col min="2" max="2" width="13" style="7" customWidth="1"/>
    <col min="3" max="3" width="13.6640625" style="7" customWidth="1"/>
    <col min="4" max="4" width="17.83203125" style="7" customWidth="1"/>
    <col min="5" max="10" width="13.83203125" style="7" customWidth="1"/>
    <col min="11" max="12" width="10.83203125" style="7"/>
    <col min="13" max="13" width="13" style="7" customWidth="1"/>
    <col min="14" max="20" width="10.83203125" style="7"/>
    <col min="21" max="21" width="13.1640625" style="7" customWidth="1"/>
    <col min="22" max="16384" width="10.83203125" style="7"/>
  </cols>
  <sheetData>
    <row r="1" spans="1:37" x14ac:dyDescent="0.25">
      <c r="E1" s="7" t="s">
        <v>76</v>
      </c>
      <c r="H1" s="7" t="s">
        <v>73</v>
      </c>
      <c r="I1" s="7" t="s">
        <v>75</v>
      </c>
      <c r="M1" s="7" t="s">
        <v>74</v>
      </c>
      <c r="N1" s="7" t="s">
        <v>73</v>
      </c>
      <c r="U1" s="7" t="s">
        <v>74</v>
      </c>
      <c r="V1" s="7" t="s">
        <v>75</v>
      </c>
    </row>
    <row r="2" spans="1:37" x14ac:dyDescent="0.25">
      <c r="H2" s="7">
        <v>-16.399999999999999</v>
      </c>
      <c r="I2" s="7">
        <v>-122.7</v>
      </c>
      <c r="M2" s="7">
        <f>-11.866*N2-78.903</f>
        <v>115.69939999999998</v>
      </c>
      <c r="N2" s="7">
        <v>-16.399999999999999</v>
      </c>
      <c r="U2" s="7">
        <f>-2.256*V2-163.85</f>
        <v>112.96119999999999</v>
      </c>
      <c r="V2" s="7">
        <v>-122.7</v>
      </c>
    </row>
    <row r="4" spans="1:37" s="1" customFormat="1" ht="41" x14ac:dyDescent="0.3">
      <c r="A4" s="1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3" t="s">
        <v>12</v>
      </c>
      <c r="N4" s="5" t="s">
        <v>13</v>
      </c>
      <c r="O4" s="4" t="s">
        <v>14</v>
      </c>
      <c r="P4" s="4" t="s">
        <v>15</v>
      </c>
      <c r="Q4" s="4" t="s">
        <v>16</v>
      </c>
      <c r="R4" s="3" t="s">
        <v>17</v>
      </c>
      <c r="S4" s="3" t="s">
        <v>18</v>
      </c>
      <c r="T4" s="3" t="s">
        <v>19</v>
      </c>
      <c r="U4" s="5" t="s">
        <v>20</v>
      </c>
      <c r="V4" s="3" t="s">
        <v>21</v>
      </c>
      <c r="W4" s="5" t="s">
        <v>22</v>
      </c>
      <c r="X4" s="3" t="s">
        <v>23</v>
      </c>
      <c r="Y4" s="6" t="s">
        <v>24</v>
      </c>
      <c r="Z4" s="5" t="s">
        <v>25</v>
      </c>
      <c r="AA4" s="5" t="s">
        <v>26</v>
      </c>
      <c r="AB4" s="3" t="s">
        <v>27</v>
      </c>
      <c r="AC4" s="5" t="s">
        <v>28</v>
      </c>
      <c r="AD4" s="5" t="s">
        <v>29</v>
      </c>
      <c r="AE4" s="3" t="s">
        <v>30</v>
      </c>
      <c r="AF4" s="3" t="s">
        <v>31</v>
      </c>
      <c r="AG4" s="3" t="s">
        <v>32</v>
      </c>
      <c r="AH4" s="5" t="s">
        <v>33</v>
      </c>
      <c r="AI4" s="3" t="s">
        <v>34</v>
      </c>
      <c r="AJ4" s="3" t="s">
        <v>35</v>
      </c>
      <c r="AK4" s="3" t="s">
        <v>36</v>
      </c>
    </row>
    <row r="5" spans="1:37" x14ac:dyDescent="0.25">
      <c r="A5" s="7" t="s">
        <v>37</v>
      </c>
      <c r="B5" s="8">
        <v>0.5</v>
      </c>
      <c r="C5" s="8">
        <v>0.66898830955338207</v>
      </c>
      <c r="D5" s="8">
        <v>2.3806625571535883E-2</v>
      </c>
      <c r="E5" s="9">
        <f>AVERAGE(E6:E40)</f>
        <v>8.0337441558441558</v>
      </c>
      <c r="F5" s="8">
        <v>105.98360586011344</v>
      </c>
      <c r="G5" s="8">
        <v>65.304296786389429</v>
      </c>
      <c r="H5" s="8">
        <v>176.95290406427225</v>
      </c>
      <c r="I5" s="8">
        <v>27.478392485822312</v>
      </c>
      <c r="J5" s="8">
        <v>627.09780417101092</v>
      </c>
      <c r="K5" s="8"/>
      <c r="L5" s="8">
        <v>216.06858913043482</v>
      </c>
      <c r="M5" s="8"/>
      <c r="N5" s="8">
        <v>7.1073818525519861E-2</v>
      </c>
      <c r="O5" s="8">
        <v>184.65918735822311</v>
      </c>
      <c r="P5" s="8">
        <v>-6.9773421367386756</v>
      </c>
      <c r="Q5" s="8">
        <v>-70.399424119650789</v>
      </c>
      <c r="R5" s="8">
        <v>101.38471172022687</v>
      </c>
      <c r="S5" s="8"/>
      <c r="T5" s="8">
        <v>213.8082649388048</v>
      </c>
      <c r="U5" s="8">
        <v>109.74633742911155</v>
      </c>
      <c r="V5" s="8"/>
      <c r="W5" s="8"/>
      <c r="X5" s="8">
        <v>49.12455103969755</v>
      </c>
      <c r="Y5" s="8">
        <v>130.65040170132326</v>
      </c>
      <c r="Z5" s="8"/>
      <c r="AA5" s="8">
        <v>24.03967391304348</v>
      </c>
      <c r="AB5" s="8"/>
      <c r="AC5" s="8">
        <v>1851.0548913043481</v>
      </c>
      <c r="AD5" s="8"/>
      <c r="AE5" s="8"/>
      <c r="AF5" s="8"/>
      <c r="AG5" s="8">
        <v>8102.4153119092643</v>
      </c>
      <c r="AH5" s="8">
        <v>1335.769706994329</v>
      </c>
      <c r="AI5" s="8">
        <v>8.3616257088846897</v>
      </c>
      <c r="AJ5" s="8">
        <v>37.627315689981103</v>
      </c>
      <c r="AK5" s="8">
        <v>13.587641776937621</v>
      </c>
    </row>
    <row r="6" spans="1:37" x14ac:dyDescent="0.25">
      <c r="A6" s="7" t="s">
        <v>38</v>
      </c>
      <c r="B6" s="8">
        <v>1.5</v>
      </c>
      <c r="C6" s="8">
        <f>AVERAGE(C5,C7)</f>
        <v>0.65223910198978974</v>
      </c>
      <c r="D6" s="8">
        <v>0.51766800541694113</v>
      </c>
      <c r="E6" s="10">
        <v>7.9340000000000002</v>
      </c>
      <c r="F6" s="8">
        <v>80.294299496040296</v>
      </c>
      <c r="G6" s="8">
        <v>84.88420518358528</v>
      </c>
      <c r="H6" s="8">
        <v>259.41682145428354</v>
      </c>
      <c r="I6" s="8">
        <v>70.068686825053973</v>
      </c>
      <c r="J6" s="8">
        <v>733.41383895869728</v>
      </c>
      <c r="K6" s="8">
        <v>1.6587570554355644</v>
      </c>
      <c r="L6" s="8">
        <v>299.82077352051823</v>
      </c>
      <c r="M6" s="8"/>
      <c r="N6" s="8">
        <v>0.58681072714182847</v>
      </c>
      <c r="O6" s="8">
        <v>268.20561934485232</v>
      </c>
      <c r="P6" s="8">
        <v>-6.8513560980469892</v>
      </c>
      <c r="Q6" s="8">
        <v>-73.883151085507947</v>
      </c>
      <c r="R6" s="8"/>
      <c r="S6" s="8"/>
      <c r="T6" s="8">
        <v>590.87773218142524</v>
      </c>
      <c r="U6" s="8">
        <v>123.75315334773214</v>
      </c>
      <c r="V6" s="8"/>
      <c r="W6" s="8"/>
      <c r="X6" s="8">
        <v>30.21203743700503</v>
      </c>
      <c r="Y6" s="8">
        <v>239.95329733621304</v>
      </c>
      <c r="Z6" s="8"/>
      <c r="AA6" s="8">
        <v>51.709064074873993</v>
      </c>
      <c r="AB6" s="8">
        <v>8.1340100791936614</v>
      </c>
      <c r="AC6" s="8">
        <v>1957.3914254859603</v>
      </c>
      <c r="AD6" s="8"/>
      <c r="AE6" s="8"/>
      <c r="AF6" s="8"/>
      <c r="AG6" s="8">
        <v>13990.4973362131</v>
      </c>
      <c r="AH6" s="8">
        <v>1459.4738084953199</v>
      </c>
      <c r="AI6" s="8">
        <v>5.8100071994240441</v>
      </c>
      <c r="AJ6" s="8">
        <v>34.860043196544268</v>
      </c>
      <c r="AK6" s="8">
        <v>9.8770122390208748</v>
      </c>
    </row>
    <row r="7" spans="1:37" x14ac:dyDescent="0.25">
      <c r="A7" s="7" t="s">
        <v>39</v>
      </c>
      <c r="B7" s="8">
        <v>2.5</v>
      </c>
      <c r="C7" s="8">
        <v>0.6354898944261973</v>
      </c>
      <c r="D7" s="8">
        <v>0.30675468733091937</v>
      </c>
      <c r="E7" s="10">
        <v>7.89</v>
      </c>
      <c r="F7" s="8">
        <v>81.911611987645088</v>
      </c>
      <c r="G7" s="8">
        <v>89.262654089100408</v>
      </c>
      <c r="H7" s="8">
        <v>286.2312018254168</v>
      </c>
      <c r="I7" s="8">
        <v>83.618103904054351</v>
      </c>
      <c r="J7" s="8">
        <v>835.85792992748839</v>
      </c>
      <c r="K7" s="8">
        <v>2.4271565795698038</v>
      </c>
      <c r="L7" s="8">
        <v>305.55000300525938</v>
      </c>
      <c r="M7" s="8"/>
      <c r="N7" s="8">
        <v>0.61630611904165655</v>
      </c>
      <c r="O7" s="8">
        <v>282.65019417313647</v>
      </c>
      <c r="P7" s="8">
        <v>-6.9997228901190356</v>
      </c>
      <c r="Q7" s="8">
        <v>-75.14459305311415</v>
      </c>
      <c r="R7" s="8"/>
      <c r="S7" s="8">
        <v>37.41155355204944</v>
      </c>
      <c r="T7" s="8">
        <v>637.96543951915874</v>
      </c>
      <c r="U7" s="8">
        <v>127.98689373069544</v>
      </c>
      <c r="V7" s="8"/>
      <c r="W7" s="8"/>
      <c r="X7" s="8">
        <v>48.569385313186991</v>
      </c>
      <c r="Y7" s="8">
        <v>281.57116620752998</v>
      </c>
      <c r="Z7" s="8">
        <v>0.65634304477279715</v>
      </c>
      <c r="AA7" s="8">
        <v>74.16676405932607</v>
      </c>
      <c r="AB7" s="8"/>
      <c r="AC7" s="8">
        <v>2329.3614658986571</v>
      </c>
      <c r="AD7" s="8"/>
      <c r="AE7" s="8"/>
      <c r="AF7" s="8"/>
      <c r="AG7" s="8">
        <v>15305.91980410163</v>
      </c>
      <c r="AH7" s="8">
        <v>1504.994601664024</v>
      </c>
      <c r="AI7" s="8">
        <v>4.5944013134095796</v>
      </c>
      <c r="AJ7" s="8">
        <v>47.256699223641398</v>
      </c>
      <c r="AK7" s="8">
        <v>9.8451456715919576</v>
      </c>
    </row>
    <row r="8" spans="1:37" x14ac:dyDescent="0.25">
      <c r="A8" s="7" t="s">
        <v>40</v>
      </c>
      <c r="B8" s="8">
        <v>3.5</v>
      </c>
      <c r="C8" s="8">
        <v>0.90324029852893073</v>
      </c>
      <c r="D8" s="8">
        <v>0.4537274581442482</v>
      </c>
      <c r="E8" s="10">
        <v>7.8479999999999999</v>
      </c>
      <c r="F8" s="8">
        <v>74.016564687238599</v>
      </c>
      <c r="G8" s="8">
        <v>84.102338336928256</v>
      </c>
      <c r="H8" s="8">
        <v>287.22765065809733</v>
      </c>
      <c r="I8" s="8">
        <v>79.655921996742492</v>
      </c>
      <c r="J8" s="8">
        <v>797.81452414604428</v>
      </c>
      <c r="K8" s="8">
        <v>1.4814157855350614</v>
      </c>
      <c r="L8" s="8">
        <v>308.19033471849264</v>
      </c>
      <c r="M8" s="8"/>
      <c r="N8" s="8">
        <v>0.66913143460844271</v>
      </c>
      <c r="O8" s="8">
        <v>272.63960934102204</v>
      </c>
      <c r="P8" s="8">
        <v>-7.0537887550266456</v>
      </c>
      <c r="Q8" s="8">
        <v>-75.359306579515206</v>
      </c>
      <c r="R8" s="8"/>
      <c r="S8" s="8">
        <v>52.597851829026702</v>
      </c>
      <c r="T8" s="8">
        <v>659.37100849583987</v>
      </c>
      <c r="U8" s="8">
        <v>125.8010476735484</v>
      </c>
      <c r="V8" s="8"/>
      <c r="W8" s="8"/>
      <c r="X8" s="8">
        <v>55.309081304749732</v>
      </c>
      <c r="Y8" s="8">
        <v>277.62989831403786</v>
      </c>
      <c r="Z8" s="8"/>
      <c r="AA8" s="8">
        <v>58.562556675617358</v>
      </c>
      <c r="AB8" s="8">
        <v>5.9647048465906574</v>
      </c>
      <c r="AC8" s="8">
        <v>2583.8016903640437</v>
      </c>
      <c r="AD8" s="8"/>
      <c r="AE8" s="8"/>
      <c r="AF8" s="8"/>
      <c r="AG8" s="8">
        <v>16142.660298454895</v>
      </c>
      <c r="AH8" s="8">
        <v>1412.5505568516965</v>
      </c>
      <c r="AI8" s="8">
        <v>5.4224589514460515</v>
      </c>
      <c r="AJ8" s="8">
        <v>46.633146982436038</v>
      </c>
      <c r="AK8" s="8">
        <v>10.844917902892103</v>
      </c>
    </row>
    <row r="9" spans="1:37" x14ac:dyDescent="0.25">
      <c r="A9" s="7" t="s">
        <v>41</v>
      </c>
      <c r="B9" s="8">
        <v>4.5</v>
      </c>
      <c r="C9" s="8">
        <v>0.70832698964827723</v>
      </c>
      <c r="D9" s="8">
        <v>0.34596181389136893</v>
      </c>
      <c r="E9" s="10">
        <v>7.75</v>
      </c>
      <c r="F9" s="8">
        <v>63.996557537912572</v>
      </c>
      <c r="G9" s="8">
        <v>75.586485280999099</v>
      </c>
      <c r="H9" s="8">
        <v>274.12698661909008</v>
      </c>
      <c r="I9" s="8">
        <v>71.463586083853698</v>
      </c>
      <c r="J9" s="8">
        <v>693.92640462727377</v>
      </c>
      <c r="K9" s="8">
        <v>1.76185225691347</v>
      </c>
      <c r="L9" s="8">
        <v>300.70548534344334</v>
      </c>
      <c r="M9" s="8"/>
      <c r="N9" s="8">
        <v>0.56071429081177515</v>
      </c>
      <c r="O9" s="8">
        <v>250.68372368421049</v>
      </c>
      <c r="P9" s="8">
        <v>-7.3052578941318087</v>
      </c>
      <c r="Q9" s="8">
        <v>-75.34588698411514</v>
      </c>
      <c r="R9" s="8"/>
      <c r="S9" s="8">
        <v>42.145191793041917</v>
      </c>
      <c r="T9" s="8">
        <v>563.46289027653881</v>
      </c>
      <c r="U9" s="8">
        <v>112.23447814451382</v>
      </c>
      <c r="V9" s="8"/>
      <c r="W9" s="8"/>
      <c r="X9" s="8">
        <v>39.85469223907225</v>
      </c>
      <c r="Y9" s="8">
        <v>262.03314897413026</v>
      </c>
      <c r="Z9" s="8">
        <v>1.3742997323818018</v>
      </c>
      <c r="AA9" s="8">
        <v>77.418884924174833</v>
      </c>
      <c r="AB9" s="8">
        <v>6.8714986619090093</v>
      </c>
      <c r="AC9" s="8">
        <v>2098.0975914362175</v>
      </c>
      <c r="AD9" s="8"/>
      <c r="AE9" s="8"/>
      <c r="AF9" s="8"/>
      <c r="AG9" s="8">
        <v>13399.422390722568</v>
      </c>
      <c r="AH9" s="8">
        <v>1235.4954594112398</v>
      </c>
      <c r="AI9" s="8">
        <v>4.5809991079393395</v>
      </c>
      <c r="AJ9" s="8">
        <v>35.273693131132916</v>
      </c>
      <c r="AK9" s="8">
        <v>7.787698483496877</v>
      </c>
    </row>
    <row r="10" spans="1:37" x14ac:dyDescent="0.25">
      <c r="A10" s="7" t="s">
        <v>42</v>
      </c>
      <c r="B10" s="8">
        <v>5.5</v>
      </c>
      <c r="C10" s="8">
        <v>0.66564211040443322</v>
      </c>
      <c r="D10" s="8">
        <v>0.33194043416621954</v>
      </c>
      <c r="E10" s="10">
        <v>7.9459999999999997</v>
      </c>
      <c r="F10" s="8">
        <v>63.985320576941689</v>
      </c>
      <c r="G10" s="8">
        <v>76.072375851053522</v>
      </c>
      <c r="H10" s="8">
        <v>273.64924090865088</v>
      </c>
      <c r="I10" s="8">
        <v>73.198530541124839</v>
      </c>
      <c r="J10" s="8">
        <v>681.59216425442617</v>
      </c>
      <c r="K10" s="8">
        <v>1.5391977380529831</v>
      </c>
      <c r="L10" s="8">
        <v>299.01895563066694</v>
      </c>
      <c r="M10" s="8"/>
      <c r="N10" s="8">
        <v>0.21722889548578617</v>
      </c>
      <c r="O10" s="8">
        <v>262.36432657545737</v>
      </c>
      <c r="P10" s="8">
        <v>-7.3706398702991498</v>
      </c>
      <c r="Q10" s="8">
        <v>-76.432874211520499</v>
      </c>
      <c r="R10" s="8"/>
      <c r="S10" s="8">
        <v>40.571933787228545</v>
      </c>
      <c r="T10" s="8">
        <v>621.25773611693705</v>
      </c>
      <c r="U10" s="8">
        <v>119.18005549998385</v>
      </c>
      <c r="V10" s="8"/>
      <c r="W10" s="8"/>
      <c r="X10" s="8">
        <v>38.881436546094022</v>
      </c>
      <c r="Y10" s="8">
        <v>266.67593978897094</v>
      </c>
      <c r="Z10" s="8">
        <v>0.42262431028363068</v>
      </c>
      <c r="AA10" s="8">
        <v>83.679613436158874</v>
      </c>
      <c r="AB10" s="8">
        <v>6.3393646542544602</v>
      </c>
      <c r="AC10" s="8">
        <v>1786.0103352586232</v>
      </c>
      <c r="AD10" s="8"/>
      <c r="AE10" s="8"/>
      <c r="AF10" s="8"/>
      <c r="AG10" s="8">
        <v>12911.172679164918</v>
      </c>
      <c r="AH10" s="8">
        <v>1260.6883175760704</v>
      </c>
      <c r="AI10" s="8">
        <v>4.6488674131199375</v>
      </c>
      <c r="AJ10" s="8">
        <v>33.809944822690454</v>
      </c>
      <c r="AK10" s="8">
        <v>10.142983446807136</v>
      </c>
    </row>
    <row r="11" spans="1:37" x14ac:dyDescent="0.25">
      <c r="A11" s="7" t="s">
        <v>43</v>
      </c>
      <c r="B11" s="8">
        <v>6.5</v>
      </c>
      <c r="C11" s="8">
        <v>0.66407945906024257</v>
      </c>
      <c r="D11" s="8">
        <v>0.35413847830155504</v>
      </c>
      <c r="E11" s="9">
        <f>AVERAGE(E10,E13)</f>
        <v>7.9670000000000005</v>
      </c>
      <c r="F11" s="8">
        <v>61.93504874039526</v>
      </c>
      <c r="G11" s="8">
        <v>74.777605795328554</v>
      </c>
      <c r="H11" s="8">
        <v>286.26786612638091</v>
      </c>
      <c r="I11" s="8">
        <v>72.887569096677993</v>
      </c>
      <c r="J11" s="8">
        <v>699.21773671615063</v>
      </c>
      <c r="K11" s="8">
        <v>2.5297414274245953</v>
      </c>
      <c r="L11" s="8">
        <v>307.33208282044416</v>
      </c>
      <c r="M11" s="8"/>
      <c r="N11" s="8">
        <v>0.22438127986543824</v>
      </c>
      <c r="O11" s="8">
        <v>246.44333901143006</v>
      </c>
      <c r="P11" s="8">
        <v>-7.1883247444479075</v>
      </c>
      <c r="Q11" s="8">
        <v>-75.788733632317317</v>
      </c>
      <c r="R11" s="8"/>
      <c r="S11" s="8">
        <v>38.285358767536977</v>
      </c>
      <c r="T11" s="8">
        <v>551.98764096486866</v>
      </c>
      <c r="U11" s="8">
        <v>110.0098283573531</v>
      </c>
      <c r="V11" s="8"/>
      <c r="W11" s="8"/>
      <c r="X11" s="8">
        <v>39.254608356588548</v>
      </c>
      <c r="Y11" s="8">
        <v>265.57438740012992</v>
      </c>
      <c r="Z11" s="8"/>
      <c r="AA11" s="8">
        <v>132.30256890553918</v>
      </c>
      <c r="AB11" s="8">
        <v>8.7232463014641226</v>
      </c>
      <c r="AC11" s="8">
        <v>2026.2162659123053</v>
      </c>
      <c r="AD11" s="8"/>
      <c r="AE11" s="8"/>
      <c r="AF11" s="8"/>
      <c r="AG11" s="8">
        <v>11926.616193279557</v>
      </c>
      <c r="AH11" s="8">
        <v>1202.8387400129973</v>
      </c>
      <c r="AI11" s="8">
        <v>5.3308727397836302</v>
      </c>
      <c r="AJ11" s="8">
        <v>33.923735616804919</v>
      </c>
      <c r="AK11" s="8">
        <v>11.146370274093043</v>
      </c>
    </row>
    <row r="12" spans="1:37" x14ac:dyDescent="0.25">
      <c r="A12" s="7" t="s">
        <v>44</v>
      </c>
      <c r="B12" s="8">
        <v>7.5</v>
      </c>
      <c r="C12" s="8">
        <v>0.68518087643098458</v>
      </c>
      <c r="D12" s="8">
        <v>0.38741110644676874</v>
      </c>
      <c r="E12" s="10">
        <v>7.9390000000000001</v>
      </c>
      <c r="F12" s="8">
        <v>58.349749996186631</v>
      </c>
      <c r="G12" s="8">
        <v>72.095799508839349</v>
      </c>
      <c r="H12" s="8">
        <v>284.04447444286819</v>
      </c>
      <c r="I12" s="8">
        <v>69.825065666041255</v>
      </c>
      <c r="J12" s="8">
        <v>654.75555137356866</v>
      </c>
      <c r="K12" s="8">
        <v>1.8709224911911404</v>
      </c>
      <c r="L12" s="8">
        <v>312.61436106713029</v>
      </c>
      <c r="M12" s="8"/>
      <c r="N12" s="8">
        <v>0.38805219420674497</v>
      </c>
      <c r="O12" s="8">
        <v>248.06469670373247</v>
      </c>
      <c r="P12" s="8">
        <v>-7.1870673987523821</v>
      </c>
      <c r="Q12" s="8">
        <v>-76.097384326518849</v>
      </c>
      <c r="R12" s="8"/>
      <c r="S12" s="8">
        <v>44.603700483533906</v>
      </c>
      <c r="T12" s="8">
        <v>557.14076785795987</v>
      </c>
      <c r="U12" s="8">
        <v>111.10376302262083</v>
      </c>
      <c r="V12" s="8"/>
      <c r="W12" s="8"/>
      <c r="X12" s="8">
        <v>42.170771366250243</v>
      </c>
      <c r="Y12" s="8">
        <v>262.7563446666361</v>
      </c>
      <c r="Z12" s="8">
        <v>0.40548818621394461</v>
      </c>
      <c r="AA12" s="8">
        <v>123.26840860903916</v>
      </c>
      <c r="AB12" s="8">
        <v>7.7042755380649472</v>
      </c>
      <c r="AC12" s="8">
        <v>2025.8189783248672</v>
      </c>
      <c r="AD12" s="8"/>
      <c r="AE12" s="8"/>
      <c r="AF12" s="8"/>
      <c r="AG12" s="8">
        <v>12128.151649659083</v>
      </c>
      <c r="AH12" s="8">
        <v>1160.9126771305234</v>
      </c>
      <c r="AI12" s="8">
        <v>4.4603700483533908</v>
      </c>
      <c r="AJ12" s="8">
        <v>37.304913131682902</v>
      </c>
      <c r="AK12" s="8">
        <v>8.9207400967067816</v>
      </c>
    </row>
    <row r="13" spans="1:37" x14ac:dyDescent="0.25">
      <c r="A13" s="7" t="s">
        <v>45</v>
      </c>
      <c r="B13" s="8">
        <v>8.5</v>
      </c>
      <c r="C13" s="8">
        <v>0.70062017266381194</v>
      </c>
      <c r="D13" s="8">
        <v>0.39989125319341567</v>
      </c>
      <c r="E13" s="10">
        <v>7.9880000000000004</v>
      </c>
      <c r="F13" s="8">
        <v>56.252362939090041</v>
      </c>
      <c r="G13" s="8">
        <v>68.533132280657526</v>
      </c>
      <c r="H13" s="8">
        <v>276.93824796096578</v>
      </c>
      <c r="I13" s="8">
        <v>69.866998613636767</v>
      </c>
      <c r="J13" s="8">
        <v>646.02989920148696</v>
      </c>
      <c r="K13" s="8">
        <v>2.1042891287517329</v>
      </c>
      <c r="L13" s="8">
        <v>307.09742570353433</v>
      </c>
      <c r="M13" s="8"/>
      <c r="N13" s="8">
        <v>0.39648026863038116</v>
      </c>
      <c r="O13" s="8">
        <v>231.02702873372823</v>
      </c>
      <c r="P13" s="8">
        <v>-7.2599934490928781</v>
      </c>
      <c r="Q13" s="8">
        <v>-75.936349181718072</v>
      </c>
      <c r="R13" s="8"/>
      <c r="S13" s="8">
        <v>50.594929871626363</v>
      </c>
      <c r="T13" s="8">
        <v>535.3863488233917</v>
      </c>
      <c r="U13" s="8">
        <v>106.70930663833924</v>
      </c>
      <c r="V13" s="8"/>
      <c r="W13" s="8"/>
      <c r="X13" s="8">
        <v>39.556036081453335</v>
      </c>
      <c r="Y13" s="8">
        <v>246.99524855512141</v>
      </c>
      <c r="Z13" s="8"/>
      <c r="AA13" s="8">
        <v>125.10746295529428</v>
      </c>
      <c r="AB13" s="8">
        <v>10.578939882249148</v>
      </c>
      <c r="AC13" s="8">
        <v>2206.3988963108332</v>
      </c>
      <c r="AD13" s="8"/>
      <c r="AE13" s="8"/>
      <c r="AF13" s="8"/>
      <c r="AG13" s="8">
        <v>12496.947678291712</v>
      </c>
      <c r="AH13" s="8">
        <v>1102.0495633856069</v>
      </c>
      <c r="AI13" s="8">
        <v>3.6796312633910087</v>
      </c>
      <c r="AJ13" s="8">
        <v>50.594929871626363</v>
      </c>
      <c r="AK13" s="8">
        <v>7.8192164347058926</v>
      </c>
    </row>
    <row r="14" spans="1:37" x14ac:dyDescent="0.25">
      <c r="A14" s="7" t="s">
        <v>46</v>
      </c>
      <c r="B14" s="8">
        <v>9.5</v>
      </c>
      <c r="C14" s="8">
        <v>0.77877892146410665</v>
      </c>
      <c r="D14" s="8">
        <v>0.4552110139192741</v>
      </c>
      <c r="E14" s="9">
        <f>AVERAGE(E13,E15)</f>
        <v>8.0289999999999999</v>
      </c>
      <c r="F14" s="8">
        <v>57.829694426255536</v>
      </c>
      <c r="G14" s="8">
        <v>68.71937893128559</v>
      </c>
      <c r="H14" s="8">
        <v>279.70080064289544</v>
      </c>
      <c r="I14" s="8">
        <v>74.139358890410151</v>
      </c>
      <c r="J14" s="8">
        <v>682.59149426443048</v>
      </c>
      <c r="K14" s="8">
        <v>2.3758407563942301</v>
      </c>
      <c r="L14" s="8">
        <v>307.38844505426908</v>
      </c>
      <c r="M14" s="8"/>
      <c r="N14" s="8">
        <v>0.26354030993908367</v>
      </c>
      <c r="O14" s="8">
        <v>222.89195198325297</v>
      </c>
      <c r="P14" s="8">
        <v>-7.3404635736065309</v>
      </c>
      <c r="Q14" s="8">
        <v>-76.365776234520183</v>
      </c>
      <c r="R14" s="8"/>
      <c r="S14" s="8">
        <v>63.647471079627763</v>
      </c>
      <c r="T14" s="8">
        <v>546.47320872274145</v>
      </c>
      <c r="U14" s="8">
        <v>112.87481199277737</v>
      </c>
      <c r="V14" s="8"/>
      <c r="W14" s="8"/>
      <c r="X14" s="8">
        <v>58.675012401531831</v>
      </c>
      <c r="Y14" s="8">
        <v>264.53480167470286</v>
      </c>
      <c r="Z14" s="8">
        <v>0.4972458678095919</v>
      </c>
      <c r="AA14" s="8">
        <v>158.6214318312598</v>
      </c>
      <c r="AB14" s="8">
        <v>11.933900827430204</v>
      </c>
      <c r="AC14" s="8">
        <v>2146.1131654661981</v>
      </c>
      <c r="AD14" s="8"/>
      <c r="AE14" s="8"/>
      <c r="AF14" s="8"/>
      <c r="AG14" s="8">
        <v>13301.326963906582</v>
      </c>
      <c r="AH14" s="8">
        <v>1128.7481199277736</v>
      </c>
      <c r="AI14" s="8">
        <v>4.9724586780959186</v>
      </c>
      <c r="AJ14" s="8">
        <v>56.686028930293475</v>
      </c>
      <c r="AK14" s="8">
        <v>9.9449173561918371</v>
      </c>
    </row>
    <row r="15" spans="1:37" x14ac:dyDescent="0.25">
      <c r="A15" s="7" t="s">
        <v>47</v>
      </c>
      <c r="B15" s="8">
        <v>10.5</v>
      </c>
      <c r="C15" s="8">
        <v>0.70400384589802845</v>
      </c>
      <c r="D15" s="8">
        <v>0.4303065621431113</v>
      </c>
      <c r="E15" s="10">
        <v>8.07</v>
      </c>
      <c r="F15" s="8">
        <v>53.353820063901473</v>
      </c>
      <c r="G15" s="8">
        <v>64.756204658156122</v>
      </c>
      <c r="H15" s="8">
        <v>275.83652561118424</v>
      </c>
      <c r="I15" s="8">
        <v>68.842383437667181</v>
      </c>
      <c r="J15" s="8">
        <v>648.15605038611943</v>
      </c>
      <c r="K15" s="8">
        <v>2.1045766513900737</v>
      </c>
      <c r="L15" s="8">
        <v>317.09798060691935</v>
      </c>
      <c r="M15" s="8">
        <v>0.1976932209515824</v>
      </c>
      <c r="N15" s="8">
        <v>0.60592193901892477</v>
      </c>
      <c r="O15" s="8">
        <v>204.47160780696561</v>
      </c>
      <c r="P15" s="8">
        <v>-7.3291474623467989</v>
      </c>
      <c r="Q15" s="8">
        <v>-75.855831609317661</v>
      </c>
      <c r="R15" s="8"/>
      <c r="S15" s="8">
        <v>77.053656985065587</v>
      </c>
      <c r="T15" s="8">
        <v>560.39023261865873</v>
      </c>
      <c r="U15" s="8">
        <v>119.08292443146497</v>
      </c>
      <c r="V15" s="8"/>
      <c r="W15" s="8"/>
      <c r="X15" s="8">
        <v>52.925744191762213</v>
      </c>
      <c r="Y15" s="8">
        <v>266.96368026138879</v>
      </c>
      <c r="Z15" s="8"/>
      <c r="AA15" s="8">
        <v>177.06774711214564</v>
      </c>
      <c r="AB15" s="8">
        <v>9.7289970940739359</v>
      </c>
      <c r="AC15" s="8">
        <v>2477.3918200349872</v>
      </c>
      <c r="AD15" s="8"/>
      <c r="AE15" s="8">
        <v>12.45311628041464</v>
      </c>
      <c r="AF15" s="8"/>
      <c r="AG15" s="8">
        <v>14558.471251572239</v>
      </c>
      <c r="AH15" s="8">
        <v>1080.30783732597</v>
      </c>
      <c r="AI15" s="8">
        <v>5.4482383726814039</v>
      </c>
      <c r="AJ15" s="8">
        <v>66.54634012346574</v>
      </c>
      <c r="AK15" s="8">
        <v>18.290514536859003</v>
      </c>
    </row>
    <row r="16" spans="1:37" x14ac:dyDescent="0.25">
      <c r="A16" s="7" t="s">
        <v>48</v>
      </c>
      <c r="B16" s="8">
        <v>11.5</v>
      </c>
      <c r="C16" s="8">
        <v>0.64632584966113471</v>
      </c>
      <c r="D16" s="8">
        <v>0.40888940950811825</v>
      </c>
      <c r="E16" s="10">
        <v>7.952</v>
      </c>
      <c r="F16" s="8">
        <v>52.656588899872901</v>
      </c>
      <c r="G16" s="8">
        <v>64.166852704420293</v>
      </c>
      <c r="H16" s="8">
        <v>273.64600593136566</v>
      </c>
      <c r="I16" s="8">
        <v>66.575977686767416</v>
      </c>
      <c r="J16" s="8">
        <v>669.27729011832514</v>
      </c>
      <c r="K16" s="8">
        <v>2.0183113740997038</v>
      </c>
      <c r="L16" s="8">
        <v>319.61172819375793</v>
      </c>
      <c r="M16" s="8"/>
      <c r="N16" s="8">
        <v>0.44205531422115524</v>
      </c>
      <c r="O16" s="8">
        <v>181.26332847337949</v>
      </c>
      <c r="P16" s="8">
        <v>-7.3943498177004949</v>
      </c>
      <c r="Q16" s="8">
        <v>-77.092351471180905</v>
      </c>
      <c r="R16" s="8"/>
      <c r="S16" s="8">
        <v>79.156963705691297</v>
      </c>
      <c r="T16" s="8">
        <v>523.12428188109027</v>
      </c>
      <c r="U16" s="8">
        <v>120.45624911735632</v>
      </c>
      <c r="V16" s="8"/>
      <c r="W16" s="8"/>
      <c r="X16" s="8">
        <v>51.241705973732529</v>
      </c>
      <c r="Y16" s="8">
        <v>263.09174410394013</v>
      </c>
      <c r="Z16" s="8">
        <v>0.38240079084875023</v>
      </c>
      <c r="AA16" s="8">
        <v>156.40192345713882</v>
      </c>
      <c r="AB16" s="8">
        <v>9.5600197712187551</v>
      </c>
      <c r="AC16" s="8">
        <v>2585.4117469284001</v>
      </c>
      <c r="AD16" s="8"/>
      <c r="AE16" s="8">
        <v>12.619226098008756</v>
      </c>
      <c r="AF16" s="8"/>
      <c r="AG16" s="8">
        <v>15754.912582968509</v>
      </c>
      <c r="AH16" s="8">
        <v>1062.3093969778281</v>
      </c>
      <c r="AI16" s="8">
        <v>6.5008134444287533</v>
      </c>
      <c r="AJ16" s="8">
        <v>70.361745516170032</v>
      </c>
      <c r="AK16" s="8">
        <v>13.766428470555008</v>
      </c>
    </row>
    <row r="17" spans="1:37" x14ac:dyDescent="0.25">
      <c r="A17" s="7" t="s">
        <v>49</v>
      </c>
      <c r="B17" s="8">
        <v>12.5</v>
      </c>
      <c r="C17" s="8">
        <v>0.7126868912258093</v>
      </c>
      <c r="D17" s="8">
        <v>0.44424015022205815</v>
      </c>
      <c r="E17" s="10">
        <v>8.0020000000000007</v>
      </c>
      <c r="F17" s="8">
        <v>46.511872556157812</v>
      </c>
      <c r="G17" s="8">
        <v>55.644171857724572</v>
      </c>
      <c r="H17" s="8">
        <v>256.111082032198</v>
      </c>
      <c r="I17" s="8">
        <v>61.079183992665101</v>
      </c>
      <c r="J17" s="8">
        <v>587.58024192599305</v>
      </c>
      <c r="K17" s="8">
        <v>2.0309198406277811</v>
      </c>
      <c r="L17" s="8">
        <v>299.70542528517115</v>
      </c>
      <c r="M17" s="8"/>
      <c r="N17" s="8">
        <v>0.58491082976026754</v>
      </c>
      <c r="O17" s="8">
        <v>172.3642001496643</v>
      </c>
      <c r="P17" s="8">
        <v>-7.0814503603282137</v>
      </c>
      <c r="Q17" s="8">
        <v>-76.312097852919905</v>
      </c>
      <c r="R17" s="8">
        <v>18.856164549793707</v>
      </c>
      <c r="S17" s="8">
        <v>83.188961249089886</v>
      </c>
      <c r="T17" s="8">
        <v>483.60516139470923</v>
      </c>
      <c r="U17" s="8">
        <v>109.80942884879865</v>
      </c>
      <c r="V17" s="8"/>
      <c r="W17" s="8"/>
      <c r="X17" s="8">
        <v>57.307951082706367</v>
      </c>
      <c r="Y17" s="8">
        <v>243.28149556400507</v>
      </c>
      <c r="Z17" s="8"/>
      <c r="AA17" s="8">
        <v>141.23636976512148</v>
      </c>
      <c r="AB17" s="8">
        <v>8.8734891999029202</v>
      </c>
      <c r="AC17" s="8">
        <v>2811.0474327859129</v>
      </c>
      <c r="AD17" s="8">
        <v>13.310233799854382</v>
      </c>
      <c r="AE17" s="8">
        <v>11.831318933203896</v>
      </c>
      <c r="AF17" s="8"/>
      <c r="AG17" s="8">
        <v>14530.338564841033</v>
      </c>
      <c r="AH17" s="8">
        <v>934.30446700644495</v>
      </c>
      <c r="AI17" s="8">
        <v>5.915659466601948</v>
      </c>
      <c r="AJ17" s="8">
        <v>87.995434565703974</v>
      </c>
      <c r="AK17" s="8">
        <v>14.049691233179624</v>
      </c>
    </row>
    <row r="18" spans="1:37" x14ac:dyDescent="0.25">
      <c r="A18" s="7" t="s">
        <v>50</v>
      </c>
      <c r="B18" s="8">
        <v>13.5</v>
      </c>
      <c r="C18" s="8">
        <v>0.6365101014898511</v>
      </c>
      <c r="D18" s="8">
        <v>0.44283928227358121</v>
      </c>
      <c r="E18" s="10">
        <v>8.1300000000000008</v>
      </c>
      <c r="F18" s="8">
        <v>47.720433668352918</v>
      </c>
      <c r="G18" s="8">
        <v>55.463260312437335</v>
      </c>
      <c r="H18" s="8">
        <v>253.4398863459096</v>
      </c>
      <c r="I18" s="8">
        <v>62.201787266284853</v>
      </c>
      <c r="J18" s="8">
        <v>614.45755949941179</v>
      </c>
      <c r="K18" s="8">
        <v>2.1164806052637446</v>
      </c>
      <c r="L18" s="8">
        <v>303.97981040269207</v>
      </c>
      <c r="M18" s="8"/>
      <c r="N18" s="8">
        <v>0.40560748779889916</v>
      </c>
      <c r="O18" s="8">
        <v>149.68762915338849</v>
      </c>
      <c r="P18" s="8">
        <v>-7.5500211895275013</v>
      </c>
      <c r="Q18" s="8">
        <v>-78.633687857131349</v>
      </c>
      <c r="R18" s="8"/>
      <c r="S18" s="8">
        <v>91.682842689367774</v>
      </c>
      <c r="T18" s="8">
        <v>519.64409778708796</v>
      </c>
      <c r="U18" s="8">
        <v>116.62835112428411</v>
      </c>
      <c r="V18" s="8"/>
      <c r="W18" s="8"/>
      <c r="X18" s="8">
        <v>45.031502239654138</v>
      </c>
      <c r="Y18" s="8">
        <v>248.1592137811156</v>
      </c>
      <c r="Z18" s="8">
        <v>0.64793528402380063</v>
      </c>
      <c r="AA18" s="8">
        <v>168.13920620417625</v>
      </c>
      <c r="AB18" s="8">
        <v>15.550446816571213</v>
      </c>
      <c r="AC18" s="8">
        <v>2213.3469302253029</v>
      </c>
      <c r="AD18" s="8">
        <v>9.3950616183451086</v>
      </c>
      <c r="AE18" s="8">
        <v>16.198382100595015</v>
      </c>
      <c r="AF18" s="8"/>
      <c r="AG18" s="8">
        <v>15450.016847547526</v>
      </c>
      <c r="AH18" s="8">
        <v>964.45167026942727</v>
      </c>
      <c r="AI18" s="8">
        <v>5.8314175562142054</v>
      </c>
      <c r="AJ18" s="8">
        <v>91.034907405343986</v>
      </c>
      <c r="AK18" s="8">
        <v>16.846317384618814</v>
      </c>
    </row>
    <row r="19" spans="1:37" x14ac:dyDescent="0.25">
      <c r="A19" s="7" t="s">
        <v>51</v>
      </c>
      <c r="B19" s="8">
        <v>14.5</v>
      </c>
      <c r="C19" s="8">
        <v>0.69183466223577195</v>
      </c>
      <c r="D19" s="8">
        <v>0.49676705243639746</v>
      </c>
      <c r="E19" s="10">
        <v>8.0549999999999997</v>
      </c>
      <c r="F19" s="8">
        <v>41.406513795101638</v>
      </c>
      <c r="G19" s="8">
        <v>48.240271762911092</v>
      </c>
      <c r="H19" s="8">
        <v>237.5656649203514</v>
      </c>
      <c r="I19" s="8">
        <v>54.198770089523279</v>
      </c>
      <c r="J19" s="8">
        <v>528.7650437959694</v>
      </c>
      <c r="K19" s="8">
        <v>2.1076925436677345</v>
      </c>
      <c r="L19" s="8">
        <v>302.24499593656492</v>
      </c>
      <c r="M19" s="8"/>
      <c r="N19" s="8">
        <v>0.42753067089251279</v>
      </c>
      <c r="O19" s="8">
        <v>132.73379786421313</v>
      </c>
      <c r="P19" s="8">
        <v>-7.7566449988255766</v>
      </c>
      <c r="Q19" s="8">
        <v>-79.425443985735257</v>
      </c>
      <c r="R19" s="8">
        <v>108.06090185550912</v>
      </c>
      <c r="S19" s="8">
        <v>105.03115694367243</v>
      </c>
      <c r="T19" s="8">
        <v>428.87722418666249</v>
      </c>
      <c r="U19" s="8">
        <v>97.625113825849382</v>
      </c>
      <c r="V19" s="8"/>
      <c r="W19" s="8">
        <v>8.7525964119727035</v>
      </c>
      <c r="X19" s="8">
        <v>70.020771295781628</v>
      </c>
      <c r="Y19" s="8">
        <v>252.14210432952129</v>
      </c>
      <c r="Z19" s="8">
        <v>1.3465532941496468</v>
      </c>
      <c r="AA19" s="8">
        <v>169.32907673931805</v>
      </c>
      <c r="AB19" s="8">
        <v>16.831916176870582</v>
      </c>
      <c r="AC19" s="8">
        <v>1133.1245970269276</v>
      </c>
      <c r="AD19" s="8">
        <v>15.485362882720935</v>
      </c>
      <c r="AE19" s="8">
        <v>22.891406000543991</v>
      </c>
      <c r="AF19" s="8"/>
      <c r="AG19" s="8">
        <v>15438.233517425699</v>
      </c>
      <c r="AH19" s="8">
        <v>823.08070104897149</v>
      </c>
      <c r="AI19" s="8">
        <v>12.455617970884232</v>
      </c>
      <c r="AJ19" s="8">
        <v>90.219070708026322</v>
      </c>
      <c r="AK19" s="8">
        <v>33.663832353741164</v>
      </c>
    </row>
    <row r="20" spans="1:37" x14ac:dyDescent="0.25">
      <c r="A20" s="7" t="s">
        <v>52</v>
      </c>
      <c r="B20" s="8">
        <v>15.5</v>
      </c>
      <c r="C20" s="8">
        <v>0.61854330692307091</v>
      </c>
      <c r="D20" s="8">
        <v>0.51760772812159772</v>
      </c>
      <c r="E20" s="10">
        <v>8.1649999999999991</v>
      </c>
      <c r="F20" s="8">
        <v>37.691027958165286</v>
      </c>
      <c r="G20" s="8">
        <v>43.898082165561554</v>
      </c>
      <c r="H20" s="8">
        <v>244.99168172807435</v>
      </c>
      <c r="I20" s="8">
        <v>56.686109508510491</v>
      </c>
      <c r="J20" s="8">
        <v>523.92041116566554</v>
      </c>
      <c r="K20" s="8">
        <v>3.1756934568323194</v>
      </c>
      <c r="L20" s="8">
        <v>312.10003352108822</v>
      </c>
      <c r="M20" s="8"/>
      <c r="N20" s="8">
        <v>0.27969135826098845</v>
      </c>
      <c r="O20" s="8">
        <v>115.21975244104176</v>
      </c>
      <c r="P20" s="8">
        <v>-7.9477615445455001</v>
      </c>
      <c r="Q20" s="8">
        <v>-80.337976472939744</v>
      </c>
      <c r="R20" s="8">
        <v>182.47243694032403</v>
      </c>
      <c r="S20" s="8">
        <v>138.72392234602503</v>
      </c>
      <c r="T20" s="8">
        <v>462.5377141294689</v>
      </c>
      <c r="U20" s="8">
        <v>90.114461685692802</v>
      </c>
      <c r="V20" s="8"/>
      <c r="W20" s="8">
        <v>16.826351767038076</v>
      </c>
      <c r="X20" s="8">
        <v>137.97608448971224</v>
      </c>
      <c r="Y20" s="8">
        <v>231.08189760065625</v>
      </c>
      <c r="Z20" s="8">
        <v>2.2435135689384098</v>
      </c>
      <c r="AA20" s="8">
        <v>246.78649258322511</v>
      </c>
      <c r="AB20" s="8">
        <v>25.052568186478911</v>
      </c>
      <c r="AC20" s="8">
        <v>965.08475357167276</v>
      </c>
      <c r="AD20" s="8">
        <v>32.157027821450541</v>
      </c>
      <c r="AE20" s="8">
        <v>30.287433180668533</v>
      </c>
      <c r="AF20" s="8"/>
      <c r="AG20" s="8">
        <v>15368.067947228108</v>
      </c>
      <c r="AH20" s="8">
        <v>745.9682616720213</v>
      </c>
      <c r="AI20" s="8">
        <v>19.069865335976488</v>
      </c>
      <c r="AJ20" s="8">
        <v>113.29743523138971</v>
      </c>
      <c r="AK20" s="8">
        <v>106.19297559641808</v>
      </c>
    </row>
    <row r="21" spans="1:37" x14ac:dyDescent="0.25">
      <c r="A21" s="7" t="s">
        <v>53</v>
      </c>
      <c r="B21" s="8">
        <v>16.5</v>
      </c>
      <c r="C21" s="8">
        <v>0.67474737440831611</v>
      </c>
      <c r="D21" s="8">
        <v>0.54236309005013761</v>
      </c>
      <c r="E21" s="10">
        <v>8.0950000000000006</v>
      </c>
      <c r="F21" s="8">
        <v>40.123067761288283</v>
      </c>
      <c r="G21" s="8">
        <v>45.945676539311648</v>
      </c>
      <c r="H21" s="8">
        <v>233.43367919166405</v>
      </c>
      <c r="I21" s="8">
        <v>54.838388127565516</v>
      </c>
      <c r="J21" s="8">
        <v>541.11618533079172</v>
      </c>
      <c r="K21" s="8">
        <v>2.8297878661193558</v>
      </c>
      <c r="L21" s="8">
        <v>301.12450576191981</v>
      </c>
      <c r="M21" s="8"/>
      <c r="N21" s="8">
        <v>2.7525059677928638E-2</v>
      </c>
      <c r="O21" s="8">
        <v>92.616179650142087</v>
      </c>
      <c r="P21" s="8">
        <v>-8.0382904346233595</v>
      </c>
      <c r="Q21" s="8">
        <v>-80.968697456742859</v>
      </c>
      <c r="R21" s="8">
        <v>36.700079570571518</v>
      </c>
      <c r="S21" s="8">
        <v>160.20996274076415</v>
      </c>
      <c r="T21" s="8">
        <v>447.1057770760973</v>
      </c>
      <c r="U21" s="8">
        <v>92.103084306915065</v>
      </c>
      <c r="V21" s="8"/>
      <c r="W21" s="8">
        <v>4.5875099463214397</v>
      </c>
      <c r="X21" s="8">
        <v>49.403953268077046</v>
      </c>
      <c r="Y21" s="8">
        <v>207.84948910640986</v>
      </c>
      <c r="Z21" s="8">
        <v>1.7644269024313231</v>
      </c>
      <c r="AA21" s="8">
        <v>301.01122955478371</v>
      </c>
      <c r="AB21" s="8">
        <v>22.584664351120935</v>
      </c>
      <c r="AC21" s="8">
        <v>779.1709201136722</v>
      </c>
      <c r="AD21" s="8">
        <v>11.998102936532996</v>
      </c>
      <c r="AE21" s="8">
        <v>35.641423429112727</v>
      </c>
      <c r="AF21" s="8"/>
      <c r="AG21" s="8">
        <v>13695.48161667193</v>
      </c>
      <c r="AH21" s="8">
        <v>769.64301484054306</v>
      </c>
      <c r="AI21" s="8">
        <v>9.8807906536154082</v>
      </c>
      <c r="AJ21" s="8">
        <v>125.98008083359647</v>
      </c>
      <c r="AK21" s="8">
        <v>41.287589516892965</v>
      </c>
    </row>
    <row r="22" spans="1:37" x14ac:dyDescent="0.25">
      <c r="A22" s="7" t="s">
        <v>54</v>
      </c>
      <c r="B22" s="8">
        <v>17.5</v>
      </c>
      <c r="C22" s="8">
        <v>0.63337549051200037</v>
      </c>
      <c r="D22" s="8">
        <v>0.51210389924580313</v>
      </c>
      <c r="E22" s="10">
        <v>8.1180000000000003</v>
      </c>
      <c r="F22" s="8">
        <v>44.259748380395273</v>
      </c>
      <c r="G22" s="8">
        <v>49.339348194516589</v>
      </c>
      <c r="H22" s="8">
        <v>239.93639121996557</v>
      </c>
      <c r="I22" s="8">
        <v>56.361147937566642</v>
      </c>
      <c r="J22" s="8">
        <v>712.20920831828744</v>
      </c>
      <c r="K22" s="8">
        <v>2.7952738977120521</v>
      </c>
      <c r="L22" s="8">
        <v>299.9574655236039</v>
      </c>
      <c r="M22" s="8"/>
      <c r="N22" s="8">
        <v>0.38096998605909854</v>
      </c>
      <c r="O22" s="8">
        <v>79.196937101932605</v>
      </c>
      <c r="P22" s="8">
        <v>-8.1853998809998778</v>
      </c>
      <c r="Q22" s="8">
        <v>-81.639677226746173</v>
      </c>
      <c r="R22" s="8">
        <v>250.99199081540613</v>
      </c>
      <c r="S22" s="8">
        <v>321.95698821857155</v>
      </c>
      <c r="T22" s="8">
        <v>599.46747806358155</v>
      </c>
      <c r="U22" s="8">
        <v>110.92949594073752</v>
      </c>
      <c r="V22" s="8"/>
      <c r="W22" s="8">
        <v>22.409999179946972</v>
      </c>
      <c r="X22" s="8">
        <v>114.29099581772955</v>
      </c>
      <c r="Y22" s="8">
        <v>230.44949156712136</v>
      </c>
      <c r="Z22" s="8">
        <v>4.1084998496569458</v>
      </c>
      <c r="AA22" s="8">
        <v>300.66748899762189</v>
      </c>
      <c r="AB22" s="8">
        <v>16.433999398627783</v>
      </c>
      <c r="AC22" s="8">
        <v>1563.4709427876339</v>
      </c>
      <c r="AD22" s="8">
        <v>25.024499084274122</v>
      </c>
      <c r="AE22" s="8">
        <v>50.048998168548245</v>
      </c>
      <c r="AF22" s="8">
        <v>30.626998879260867</v>
      </c>
      <c r="AG22" s="8">
        <v>25521.25406609628</v>
      </c>
      <c r="AH22" s="8">
        <v>844.48346909766849</v>
      </c>
      <c r="AI22" s="8">
        <v>33.988498756252909</v>
      </c>
      <c r="AJ22" s="8">
        <v>202.43699259218764</v>
      </c>
      <c r="AK22" s="8">
        <v>53.036998059207839</v>
      </c>
    </row>
    <row r="23" spans="1:37" x14ac:dyDescent="0.25">
      <c r="A23" s="7" t="s">
        <v>55</v>
      </c>
      <c r="B23" s="8">
        <v>18.5</v>
      </c>
      <c r="C23" s="8">
        <v>0.6524494719288656</v>
      </c>
      <c r="D23" s="8">
        <v>0.51792839585441486</v>
      </c>
      <c r="E23" s="10">
        <v>8.07</v>
      </c>
      <c r="F23" s="8">
        <v>39.999209184558289</v>
      </c>
      <c r="G23" s="8">
        <v>43.37662585411536</v>
      </c>
      <c r="H23" s="8">
        <v>230.42590787693803</v>
      </c>
      <c r="I23" s="8">
        <v>50.098347265096599</v>
      </c>
      <c r="J23" s="8">
        <v>673.40391108259371</v>
      </c>
      <c r="K23" s="8">
        <v>2.1986320280253895</v>
      </c>
      <c r="L23" s="8">
        <v>305.65951978772853</v>
      </c>
      <c r="M23" s="8"/>
      <c r="N23" s="8">
        <v>1.0317676806215532</v>
      </c>
      <c r="O23" s="8">
        <v>56.088295064340471</v>
      </c>
      <c r="P23" s="8">
        <v>-8.3154453500799796</v>
      </c>
      <c r="Q23" s="8">
        <v>-82.858943323095019</v>
      </c>
      <c r="R23" s="8">
        <v>289.72937116298431</v>
      </c>
      <c r="S23" s="8">
        <v>427.80611147722942</v>
      </c>
      <c r="T23" s="8">
        <v>588.06784364052578</v>
      </c>
      <c r="U23" s="8">
        <v>105.95817002531997</v>
      </c>
      <c r="V23" s="8"/>
      <c r="W23" s="8">
        <v>43.045506572786238</v>
      </c>
      <c r="X23" s="8">
        <v>307.94093163608619</v>
      </c>
      <c r="Y23" s="8">
        <v>209.59850508133607</v>
      </c>
      <c r="Z23" s="8">
        <v>8.2779820332281222</v>
      </c>
      <c r="AA23" s="8">
        <v>259.59751656203389</v>
      </c>
      <c r="AB23" s="8">
        <v>15.893725503797995</v>
      </c>
      <c r="AC23" s="8">
        <v>1887.0487842946827</v>
      </c>
      <c r="AD23" s="8">
        <v>48.674534355381361</v>
      </c>
      <c r="AE23" s="8">
        <v>53.972442856647355</v>
      </c>
      <c r="AF23" s="8">
        <v>29.138496756962994</v>
      </c>
      <c r="AG23" s="8">
        <v>27774.285317886999</v>
      </c>
      <c r="AH23" s="8">
        <v>759.25651208768352</v>
      </c>
      <c r="AI23" s="8">
        <v>54.965800700634738</v>
      </c>
      <c r="AJ23" s="8">
        <v>194.69813742152544</v>
      </c>
      <c r="AK23" s="8">
        <v>80.130866081648222</v>
      </c>
    </row>
    <row r="24" spans="1:37" x14ac:dyDescent="0.25">
      <c r="A24" s="7" t="s">
        <v>56</v>
      </c>
      <c r="B24" s="8">
        <v>19.5</v>
      </c>
      <c r="C24" s="8">
        <v>0.64748698611393019</v>
      </c>
      <c r="D24" s="8">
        <v>0.48064239732448893</v>
      </c>
      <c r="E24" s="10">
        <v>8.1999999999999993</v>
      </c>
      <c r="F24" s="8">
        <v>40.180971192188728</v>
      </c>
      <c r="G24" s="8">
        <v>42.587643945887542</v>
      </c>
      <c r="H24" s="8">
        <v>228.11072187232148</v>
      </c>
      <c r="I24" s="8">
        <v>50.679645088758875</v>
      </c>
      <c r="J24" s="8">
        <v>680.80567575230748</v>
      </c>
      <c r="K24" s="8">
        <v>2.3372629163095202</v>
      </c>
      <c r="L24" s="8">
        <v>300.58784624653731</v>
      </c>
      <c r="M24" s="8"/>
      <c r="N24" s="8">
        <v>0.82140787463198317</v>
      </c>
      <c r="O24" s="8">
        <v>45.675509726828913</v>
      </c>
      <c r="P24" s="8">
        <v>-8.4293249459318886</v>
      </c>
      <c r="Q24" s="8">
        <v>-83.572098964355675</v>
      </c>
      <c r="R24" s="8">
        <v>397.97298724207764</v>
      </c>
      <c r="S24" s="8">
        <v>394.48505571497793</v>
      </c>
      <c r="T24" s="8">
        <v>650.84802295680709</v>
      </c>
      <c r="U24" s="8">
        <v>107.0794978819613</v>
      </c>
      <c r="V24" s="8">
        <v>3.4879315270997164</v>
      </c>
      <c r="W24" s="8">
        <v>49.877420837525946</v>
      </c>
      <c r="X24" s="8">
        <v>430.75954359681498</v>
      </c>
      <c r="Y24" s="8">
        <v>208.57830532056303</v>
      </c>
      <c r="Z24" s="8">
        <v>9.7662082758792046</v>
      </c>
      <c r="AA24" s="8">
        <v>275.19779748816762</v>
      </c>
      <c r="AB24" s="8">
        <v>16.044485024658695</v>
      </c>
      <c r="AC24" s="8">
        <v>1827.6761202002515</v>
      </c>
      <c r="AD24" s="8">
        <v>51.621386601075805</v>
      </c>
      <c r="AE24" s="8">
        <v>50.923800295655859</v>
      </c>
      <c r="AF24" s="8">
        <v>34.530522118287195</v>
      </c>
      <c r="AG24" s="8">
        <v>27094.252102510596</v>
      </c>
      <c r="AH24" s="8">
        <v>753.04441670082883</v>
      </c>
      <c r="AI24" s="8">
        <v>59.643629113405154</v>
      </c>
      <c r="AJ24" s="8">
        <v>202.64882172449353</v>
      </c>
      <c r="AK24" s="8">
        <v>70.456216847414268</v>
      </c>
    </row>
    <row r="25" spans="1:37" x14ac:dyDescent="0.25">
      <c r="A25" s="7" t="s">
        <v>57</v>
      </c>
      <c r="B25" s="8">
        <v>20.5</v>
      </c>
      <c r="C25" s="8">
        <v>0.6367653191438869</v>
      </c>
      <c r="D25" s="8">
        <v>0.49324645788231408</v>
      </c>
      <c r="E25" s="10">
        <v>8.1910000000000007</v>
      </c>
      <c r="F25" s="8">
        <v>42.466948445999513</v>
      </c>
      <c r="G25" s="8">
        <v>43.699498400896594</v>
      </c>
      <c r="H25" s="8">
        <v>224.92169176940112</v>
      </c>
      <c r="I25" s="8">
        <v>53.447848044173533</v>
      </c>
      <c r="J25" s="8">
        <v>738.48102154145022</v>
      </c>
      <c r="K25" s="8">
        <v>2.4228944113386004</v>
      </c>
      <c r="L25" s="8">
        <v>285.96130053576803</v>
      </c>
      <c r="M25" s="8">
        <v>0.18749699313888968</v>
      </c>
      <c r="N25" s="8">
        <v>0.92366546620014778</v>
      </c>
      <c r="O25" s="8">
        <v>42.053483961129494</v>
      </c>
      <c r="P25" s="8">
        <v>-8.5663756267442004</v>
      </c>
      <c r="Q25" s="8">
        <v>-84.014945612557852</v>
      </c>
      <c r="R25" s="8">
        <v>876.97796790859161</v>
      </c>
      <c r="S25" s="8">
        <v>432.51298417297659</v>
      </c>
      <c r="T25" s="8">
        <v>649.51647623212978</v>
      </c>
      <c r="U25" s="8">
        <v>113.54399584506466</v>
      </c>
      <c r="V25" s="8">
        <v>4.8554998223218444</v>
      </c>
      <c r="W25" s="8">
        <v>48.928498209550895</v>
      </c>
      <c r="X25" s="8">
        <v>885.19496760790548</v>
      </c>
      <c r="Y25" s="8">
        <v>210.65399229150154</v>
      </c>
      <c r="Z25" s="8">
        <v>14.566499466965533</v>
      </c>
      <c r="AA25" s="8">
        <v>345.86098734384831</v>
      </c>
      <c r="AB25" s="8">
        <v>17.554499357625129</v>
      </c>
      <c r="AC25" s="8">
        <v>1913.440429981139</v>
      </c>
      <c r="AD25" s="8">
        <v>62.000997731186629</v>
      </c>
      <c r="AE25" s="8">
        <v>58.63949785419458</v>
      </c>
      <c r="AF25" s="8">
        <v>39.964498537572098</v>
      </c>
      <c r="AG25" s="8">
        <v>29338.423926413914</v>
      </c>
      <c r="AH25" s="8">
        <v>779.12097148948976</v>
      </c>
      <c r="AI25" s="8">
        <v>74.699997266489916</v>
      </c>
      <c r="AJ25" s="8">
        <v>238.66649126643526</v>
      </c>
      <c r="AK25" s="8">
        <v>79.928997075144196</v>
      </c>
    </row>
    <row r="26" spans="1:37" x14ac:dyDescent="0.25">
      <c r="A26" s="7" t="s">
        <v>58</v>
      </c>
      <c r="B26" s="8">
        <v>21.5</v>
      </c>
      <c r="C26" s="8">
        <v>0.62557806498018054</v>
      </c>
      <c r="D26" s="8">
        <v>0.49146796774060603</v>
      </c>
      <c r="E26" s="9">
        <f>AVERAGE(E25,E27)</f>
        <v>8.1129999999999995</v>
      </c>
      <c r="F26" s="8">
        <v>31.006009503659261</v>
      </c>
      <c r="G26" s="8">
        <v>30.883495369567481</v>
      </c>
      <c r="H26" s="8">
        <v>165.02984981443586</v>
      </c>
      <c r="I26" s="8">
        <v>40.628335819083624</v>
      </c>
      <c r="J26" s="8">
        <v>560.86423990681453</v>
      </c>
      <c r="K26" s="8">
        <v>1.8390364885019599</v>
      </c>
      <c r="L26" s="8">
        <v>198.16197622350941</v>
      </c>
      <c r="M26" s="8">
        <v>0.10562705074399084</v>
      </c>
      <c r="N26" s="8">
        <v>0.72051555617217578</v>
      </c>
      <c r="O26" s="8">
        <v>26.810065970656588</v>
      </c>
      <c r="P26" s="8">
        <v>-8.7524627896820224</v>
      </c>
      <c r="Q26" s="8">
        <v>-83.947847635557537</v>
      </c>
      <c r="R26" s="8">
        <v>311.25212444937745</v>
      </c>
      <c r="S26" s="8">
        <v>343.37069473830252</v>
      </c>
      <c r="T26" s="8">
        <v>474.82504942596512</v>
      </c>
      <c r="U26" s="8">
        <v>80.461985362977344</v>
      </c>
      <c r="V26" s="8"/>
      <c r="W26" s="8">
        <v>44.038864416773613</v>
      </c>
      <c r="X26" s="8">
        <v>431.44842357184979</v>
      </c>
      <c r="Y26" s="8">
        <v>152.31486941139747</v>
      </c>
      <c r="Z26" s="8">
        <v>9.6024591585446224</v>
      </c>
      <c r="AA26" s="8">
        <v>245.6905067462107</v>
      </c>
      <c r="AB26" s="8">
        <v>12.913651971835872</v>
      </c>
      <c r="AC26" s="8">
        <v>1533.4133918351777</v>
      </c>
      <c r="AD26" s="8">
        <v>47.350057230064863</v>
      </c>
      <c r="AE26" s="8">
        <v>43.707745135444483</v>
      </c>
      <c r="AF26" s="8">
        <v>26.489542506329993</v>
      </c>
      <c r="AG26" s="8">
        <v>21297.592175089314</v>
      </c>
      <c r="AH26" s="8">
        <v>554.95591550761333</v>
      </c>
      <c r="AI26" s="8">
        <v>44.369983698102743</v>
      </c>
      <c r="AJ26" s="8">
        <v>210.59186292532345</v>
      </c>
      <c r="AK26" s="8">
        <v>71.521764767090986</v>
      </c>
    </row>
    <row r="27" spans="1:37" x14ac:dyDescent="0.25">
      <c r="A27" s="7" t="s">
        <v>59</v>
      </c>
      <c r="B27" s="8">
        <v>22.5</v>
      </c>
      <c r="C27" s="8">
        <v>0.56750276352304563</v>
      </c>
      <c r="D27" s="8">
        <v>0.41010668402113354</v>
      </c>
      <c r="E27" s="10">
        <v>8.0350000000000001</v>
      </c>
      <c r="F27" s="8">
        <v>46.319730679884231</v>
      </c>
      <c r="G27" s="8">
        <v>47.610265344911127</v>
      </c>
      <c r="H27" s="8">
        <v>235.22610218760488</v>
      </c>
      <c r="I27" s="8">
        <v>52.458490167579733</v>
      </c>
      <c r="J27" s="8">
        <v>702.14895610342967</v>
      </c>
      <c r="K27" s="8">
        <v>2.1234527136983075</v>
      </c>
      <c r="L27" s="8">
        <v>310.55949368936268</v>
      </c>
      <c r="M27" s="8"/>
      <c r="N27" s="8">
        <v>0.39274108995142809</v>
      </c>
      <c r="O27" s="8">
        <v>41.356752909974048</v>
      </c>
      <c r="P27" s="8">
        <v>-8.8367049512822522</v>
      </c>
      <c r="Q27" s="8">
        <v>-84.524890237760374</v>
      </c>
      <c r="R27" s="8">
        <v>346.35160064100182</v>
      </c>
      <c r="S27" s="8">
        <v>282.52245369507705</v>
      </c>
      <c r="T27" s="8">
        <v>649.45285034596725</v>
      </c>
      <c r="U27" s="8">
        <v>118.58967192139036</v>
      </c>
      <c r="V27" s="8"/>
      <c r="W27" s="8">
        <v>24.06672753698804</v>
      </c>
      <c r="X27" s="8">
        <v>451.33833960670324</v>
      </c>
      <c r="Y27" s="8">
        <v>206.13675325159323</v>
      </c>
      <c r="Z27" s="8">
        <v>13.951726108398866</v>
      </c>
      <c r="AA27" s="8">
        <v>433.89868197120467</v>
      </c>
      <c r="AB27" s="8">
        <v>14.300519261108839</v>
      </c>
      <c r="AC27" s="8">
        <v>1462.1408961602012</v>
      </c>
      <c r="AD27" s="8">
        <v>24.06672753698804</v>
      </c>
      <c r="AE27" s="8">
        <v>53.714145517335638</v>
      </c>
      <c r="AF27" s="8">
        <v>31.39138374389745</v>
      </c>
      <c r="AG27" s="8">
        <v>23348.213642405502</v>
      </c>
      <c r="AH27" s="8">
        <v>838.49873911477187</v>
      </c>
      <c r="AI27" s="8">
        <v>33.135349507447309</v>
      </c>
      <c r="AJ27" s="8">
        <v>145.44674468005817</v>
      </c>
      <c r="AK27" s="8">
        <v>17.090864482788607</v>
      </c>
    </row>
    <row r="28" spans="1:37" x14ac:dyDescent="0.25">
      <c r="A28" s="7" t="s">
        <v>60</v>
      </c>
      <c r="B28" s="8">
        <v>23.5</v>
      </c>
      <c r="C28" s="8">
        <v>0.57159221169106977</v>
      </c>
      <c r="D28" s="8">
        <v>0.48006169866448378</v>
      </c>
      <c r="E28" s="10">
        <v>8.016</v>
      </c>
      <c r="F28" s="8">
        <v>47.345611377271346</v>
      </c>
      <c r="G28" s="8">
        <v>47.500715755247668</v>
      </c>
      <c r="H28" s="8">
        <v>232.46268649200798</v>
      </c>
      <c r="I28" s="8">
        <v>54.868173709122814</v>
      </c>
      <c r="J28" s="8">
        <v>768.62148800439536</v>
      </c>
      <c r="K28" s="8">
        <v>2.6697341059173891</v>
      </c>
      <c r="L28" s="8">
        <v>289.91024600687695</v>
      </c>
      <c r="M28" s="8"/>
      <c r="N28" s="8">
        <v>0.47888476700188465</v>
      </c>
      <c r="O28" s="8">
        <v>29.04949895118477</v>
      </c>
      <c r="P28" s="8">
        <v>-8.9636968665303609</v>
      </c>
      <c r="Q28" s="8">
        <v>-83.894169253957259</v>
      </c>
      <c r="R28" s="8">
        <v>380.78124793186288</v>
      </c>
      <c r="S28" s="8">
        <v>272.98370523832131</v>
      </c>
      <c r="T28" s="8">
        <v>658.41808450947383</v>
      </c>
      <c r="U28" s="8">
        <v>122.92021954623273</v>
      </c>
      <c r="V28" s="8"/>
      <c r="W28" s="8">
        <v>46.91907433783647</v>
      </c>
      <c r="X28" s="8">
        <v>632.82586214338119</v>
      </c>
      <c r="Y28" s="8">
        <v>211.71747593767532</v>
      </c>
      <c r="Z28" s="8">
        <v>16.285959687513486</v>
      </c>
      <c r="AA28" s="8">
        <v>406.37347029795558</v>
      </c>
      <c r="AB28" s="8">
        <v>13.571633072927904</v>
      </c>
      <c r="AC28" s="8">
        <v>1686.3723495475274</v>
      </c>
      <c r="AD28" s="8">
        <v>34.510724099730957</v>
      </c>
      <c r="AE28" s="8">
        <v>63.592794970290761</v>
      </c>
      <c r="AF28" s="8">
        <v>29.857592760441392</v>
      </c>
      <c r="AG28" s="8">
        <v>25223.849468398861</v>
      </c>
      <c r="AH28" s="8">
        <v>839.11468485188527</v>
      </c>
      <c r="AI28" s="8">
        <v>48.08235717265886</v>
      </c>
      <c r="AJ28" s="8">
        <v>164.79840159983883</v>
      </c>
      <c r="AK28" s="8">
        <v>19.775808191980662</v>
      </c>
    </row>
    <row r="29" spans="1:37" x14ac:dyDescent="0.25">
      <c r="A29" s="7" t="s">
        <v>61</v>
      </c>
      <c r="B29" s="8">
        <v>24.5</v>
      </c>
      <c r="C29" s="8">
        <v>0.56879926499861511</v>
      </c>
      <c r="D29" s="8">
        <v>0.48187806390091281</v>
      </c>
      <c r="E29" s="10">
        <v>8.1560000000000006</v>
      </c>
      <c r="F29" s="8">
        <v>71.045671423344288</v>
      </c>
      <c r="G29" s="8">
        <v>71.919780846187891</v>
      </c>
      <c r="H29" s="8">
        <v>351.14917981011797</v>
      </c>
      <c r="I29" s="8">
        <v>80.806559978431238</v>
      </c>
      <c r="J29" s="8">
        <v>1111.4007360807811</v>
      </c>
      <c r="K29" s="8">
        <v>3.1613624126177124</v>
      </c>
      <c r="L29" s="8">
        <v>462.57093670730052</v>
      </c>
      <c r="M29" s="8">
        <v>0.21852735571090176</v>
      </c>
      <c r="N29" s="8">
        <v>0.9916285785814698</v>
      </c>
      <c r="O29" s="8">
        <v>51.23349573824791</v>
      </c>
      <c r="P29" s="8">
        <v>-9.0881740903874153</v>
      </c>
      <c r="Q29" s="8">
        <v>-83.840490872356995</v>
      </c>
      <c r="R29" s="8">
        <v>1259.6888015868428</v>
      </c>
      <c r="S29" s="8">
        <v>415.68759219673757</v>
      </c>
      <c r="T29" s="8">
        <v>990.65734588942132</v>
      </c>
      <c r="U29" s="8">
        <v>196.67462013981159</v>
      </c>
      <c r="V29" s="8">
        <v>5.3417798062664881</v>
      </c>
      <c r="W29" s="8">
        <v>59.730810560979819</v>
      </c>
      <c r="X29" s="8">
        <v>1415.0860323145948</v>
      </c>
      <c r="Y29" s="8">
        <v>320.99240472201353</v>
      </c>
      <c r="Z29" s="8">
        <v>23.795200955187081</v>
      </c>
      <c r="AA29" s="8">
        <v>896.93339110674583</v>
      </c>
      <c r="AB29" s="8">
        <v>23.309584609162854</v>
      </c>
      <c r="AC29" s="8">
        <v>2377.0920137885869</v>
      </c>
      <c r="AD29" s="8">
        <v>46.133552872301486</v>
      </c>
      <c r="AE29" s="8">
        <v>102.95066535713595</v>
      </c>
      <c r="AF29" s="8">
        <v>37.87807498988964</v>
      </c>
      <c r="AG29" s="8">
        <v>38786.177556954943</v>
      </c>
      <c r="AH29" s="8">
        <v>1277.1709900437147</v>
      </c>
      <c r="AI29" s="8">
        <v>96.637652858821014</v>
      </c>
      <c r="AJ29" s="8">
        <v>210.75749417451414</v>
      </c>
      <c r="AK29" s="8">
        <v>34.478760567720059</v>
      </c>
    </row>
    <row r="30" spans="1:37" x14ac:dyDescent="0.25">
      <c r="A30" s="7" t="s">
        <v>62</v>
      </c>
      <c r="B30" s="8">
        <v>25.5</v>
      </c>
      <c r="C30" s="8">
        <v>0.63858146958923168</v>
      </c>
      <c r="D30" s="8">
        <v>0.47380212367105684</v>
      </c>
      <c r="E30" s="9">
        <f>AVERAGE(E29,E31)</f>
        <v>8.1404999999999994</v>
      </c>
      <c r="F30" s="8">
        <v>42.737113682369703</v>
      </c>
      <c r="G30" s="8">
        <v>42.567387257896428</v>
      </c>
      <c r="H30" s="8">
        <v>210.5286569166457</v>
      </c>
      <c r="I30" s="8">
        <v>49.254608382143317</v>
      </c>
      <c r="J30" s="8">
        <v>683.84358102634963</v>
      </c>
      <c r="K30" s="8">
        <v>2.3096371842322756</v>
      </c>
      <c r="L30" s="8">
        <v>272.0042467665624</v>
      </c>
      <c r="M30" s="8"/>
      <c r="N30" s="8">
        <v>0.73186034232874575</v>
      </c>
      <c r="O30" s="8">
        <v>27.586993581036563</v>
      </c>
      <c r="P30" s="8">
        <v>-8.918935359769641</v>
      </c>
      <c r="Q30" s="8">
        <v>-84.527574156840387</v>
      </c>
      <c r="R30" s="8">
        <v>452.1511947967947</v>
      </c>
      <c r="S30" s="8">
        <v>286.49820451088192</v>
      </c>
      <c r="T30" s="8">
        <v>597.77646699486138</v>
      </c>
      <c r="U30" s="8">
        <v>113.3772515481452</v>
      </c>
      <c r="V30" s="8"/>
      <c r="W30" s="8">
        <v>23.082793728364891</v>
      </c>
      <c r="X30" s="8">
        <v>501.03240504509682</v>
      </c>
      <c r="Y30" s="8">
        <v>189.07523686322421</v>
      </c>
      <c r="Z30" s="8">
        <v>12.899208259968615</v>
      </c>
      <c r="AA30" s="8">
        <v>383.24226646064653</v>
      </c>
      <c r="AB30" s="8">
        <v>12.220302562075531</v>
      </c>
      <c r="AC30" s="8">
        <v>1501.3999508905576</v>
      </c>
      <c r="AD30" s="8">
        <v>23.761699426257977</v>
      </c>
      <c r="AE30" s="8">
        <v>63.138229904056907</v>
      </c>
      <c r="AF30" s="8">
        <v>42.771058967264359</v>
      </c>
      <c r="AG30" s="8">
        <v>23880.507923389268</v>
      </c>
      <c r="AH30" s="8">
        <v>752.5669661144849</v>
      </c>
      <c r="AI30" s="8">
        <v>34.963643441493886</v>
      </c>
      <c r="AJ30" s="8">
        <v>149.35925353647872</v>
      </c>
      <c r="AK30" s="8">
        <v>12.899208259968615</v>
      </c>
    </row>
    <row r="31" spans="1:37" x14ac:dyDescent="0.25">
      <c r="A31" s="7" t="s">
        <v>63</v>
      </c>
      <c r="B31" s="8">
        <v>26.5</v>
      </c>
      <c r="C31" s="8">
        <v>0.60434189743609201</v>
      </c>
      <c r="D31" s="8">
        <v>0.43857976037676366</v>
      </c>
      <c r="E31" s="10">
        <v>8.125</v>
      </c>
      <c r="F31" s="8">
        <v>45.380237829803065</v>
      </c>
      <c r="G31" s="8">
        <v>44.315358602749924</v>
      </c>
      <c r="H31" s="8">
        <v>232.51228353771842</v>
      </c>
      <c r="I31" s="8">
        <v>55.947116313638077</v>
      </c>
      <c r="J31" s="8">
        <v>755.96996518246715</v>
      </c>
      <c r="K31" s="8">
        <v>2.6777616871051664</v>
      </c>
      <c r="L31" s="8">
        <v>290.18900945745088</v>
      </c>
      <c r="M31" s="8"/>
      <c r="N31" s="8">
        <v>0.73517623560014889</v>
      </c>
      <c r="O31" s="8">
        <v>27.36452915273134</v>
      </c>
      <c r="P31" s="8">
        <v>-9.0266060628298348</v>
      </c>
      <c r="Q31" s="8">
        <v>-85.096565001803185</v>
      </c>
      <c r="R31" s="8">
        <v>252.70403195837986</v>
      </c>
      <c r="S31" s="8">
        <v>341.58049052396893</v>
      </c>
      <c r="T31" s="8">
        <v>702.8202898550727</v>
      </c>
      <c r="U31" s="8">
        <v>122.46111111111115</v>
      </c>
      <c r="V31" s="8"/>
      <c r="W31" s="8">
        <v>23.345429208472698</v>
      </c>
      <c r="X31" s="8">
        <v>365.33548866592361</v>
      </c>
      <c r="Y31" s="8">
        <v>204.78446674098856</v>
      </c>
      <c r="Z31" s="8">
        <v>10.239223337049427</v>
      </c>
      <c r="AA31" s="8">
        <v>423.9038461538463</v>
      </c>
      <c r="AB31" s="8">
        <v>14.744481605351176</v>
      </c>
      <c r="AC31" s="8">
        <v>1650.5628019323678</v>
      </c>
      <c r="AD31" s="8">
        <v>22.935860274990716</v>
      </c>
      <c r="AE31" s="8">
        <v>78.227666295057617</v>
      </c>
      <c r="AF31" s="8">
        <v>58.568357487922732</v>
      </c>
      <c r="AG31" s="8">
        <v>25897.043664065412</v>
      </c>
      <c r="AH31" s="8">
        <v>797.43071348940953</v>
      </c>
      <c r="AI31" s="8">
        <v>29.079394277220377</v>
      </c>
      <c r="AJ31" s="8">
        <v>162.18929765886296</v>
      </c>
      <c r="AK31" s="8">
        <v>13.515774804905243</v>
      </c>
    </row>
    <row r="32" spans="1:37" x14ac:dyDescent="0.25">
      <c r="A32" s="7" t="s">
        <v>64</v>
      </c>
      <c r="B32" s="8">
        <v>27.5</v>
      </c>
      <c r="C32" s="8">
        <v>0.5176425877409464</v>
      </c>
      <c r="D32" s="8">
        <v>0.61343821583072244</v>
      </c>
      <c r="E32" s="10">
        <v>8.0180000000000007</v>
      </c>
      <c r="F32" s="8">
        <v>33.406222061371778</v>
      </c>
      <c r="G32" s="8">
        <v>31.672036728740334</v>
      </c>
      <c r="H32" s="8">
        <v>179.58239641595935</v>
      </c>
      <c r="I32" s="8">
        <v>47.490489679980712</v>
      </c>
      <c r="J32" s="8">
        <v>576.26868626225655</v>
      </c>
      <c r="K32" s="8">
        <v>2.3355612039656957</v>
      </c>
      <c r="L32" s="8">
        <v>208.62505048474489</v>
      </c>
      <c r="M32" s="8"/>
      <c r="N32" s="8"/>
      <c r="O32" s="8">
        <v>30.198138881577517</v>
      </c>
      <c r="P32" s="8">
        <v>-8.7496966291518667</v>
      </c>
      <c r="Q32" s="8">
        <v>-85.214657441323766</v>
      </c>
      <c r="R32" s="8">
        <v>911.48525586190283</v>
      </c>
      <c r="S32" s="8">
        <v>194.17765787107112</v>
      </c>
      <c r="T32" s="8">
        <v>451.27143186155183</v>
      </c>
      <c r="U32" s="8">
        <v>92.617632866135892</v>
      </c>
      <c r="V32" s="8"/>
      <c r="W32" s="8">
        <v>15.649186242898821</v>
      </c>
      <c r="X32" s="8">
        <v>725.93061898181691</v>
      </c>
      <c r="Y32" s="8">
        <v>164.15676997653051</v>
      </c>
      <c r="Z32" s="8">
        <v>8.3036498431708043</v>
      </c>
      <c r="AA32" s="8">
        <v>228.03099953938286</v>
      </c>
      <c r="AB32" s="8">
        <v>11.177990173499159</v>
      </c>
      <c r="AC32" s="8">
        <v>1055.8410146739493</v>
      </c>
      <c r="AD32" s="8">
        <v>12.774845912570468</v>
      </c>
      <c r="AE32" s="8">
        <v>76.329704327608553</v>
      </c>
      <c r="AF32" s="8">
        <v>38.963280033339935</v>
      </c>
      <c r="AG32" s="8">
        <v>18664.049878265454</v>
      </c>
      <c r="AH32" s="8">
        <v>567.84190081375732</v>
      </c>
      <c r="AI32" s="8">
        <v>47.905672172139255</v>
      </c>
      <c r="AJ32" s="8">
        <v>95.491973196464244</v>
      </c>
      <c r="AK32" s="8">
        <v>21.717238051369794</v>
      </c>
    </row>
    <row r="33" spans="1:37" x14ac:dyDescent="0.25">
      <c r="A33" s="7" t="s">
        <v>65</v>
      </c>
      <c r="B33" s="8">
        <v>28.5</v>
      </c>
      <c r="C33" s="8">
        <v>0.59554218050488228</v>
      </c>
      <c r="D33" s="8">
        <v>0.72072842051392061</v>
      </c>
      <c r="E33" s="10">
        <v>8.1489999999999991</v>
      </c>
      <c r="F33" s="8">
        <v>40.51705611203483</v>
      </c>
      <c r="G33" s="8">
        <v>37.776414290928273</v>
      </c>
      <c r="H33" s="8">
        <v>205.69627938413296</v>
      </c>
      <c r="I33" s="8">
        <v>55.627621828406141</v>
      </c>
      <c r="J33" s="8">
        <v>639.80462121342771</v>
      </c>
      <c r="K33" s="8">
        <v>2.3188051948578616</v>
      </c>
      <c r="L33" s="8">
        <v>235.58964486935136</v>
      </c>
      <c r="M33" s="8"/>
      <c r="N33" s="8">
        <v>0.16073493923787127</v>
      </c>
      <c r="O33" s="8">
        <v>37.333467315516991</v>
      </c>
      <c r="P33" s="8">
        <v>-9.1342767658900303</v>
      </c>
      <c r="Q33" s="8">
        <v>-85.665555846765983</v>
      </c>
      <c r="R33" s="8">
        <v>90.367108695946072</v>
      </c>
      <c r="S33" s="8">
        <v>162.21636724928021</v>
      </c>
      <c r="T33" s="8">
        <v>487.38981575354512</v>
      </c>
      <c r="U33" s="8">
        <v>102.21853278721767</v>
      </c>
      <c r="V33" s="8"/>
      <c r="W33" s="8">
        <v>10.740353082714901</v>
      </c>
      <c r="X33" s="8">
        <v>65.182832501993886</v>
      </c>
      <c r="Y33" s="8">
        <v>177.77136136907421</v>
      </c>
      <c r="Z33" s="8">
        <v>3.7035700285223796</v>
      </c>
      <c r="AA33" s="8">
        <v>285.17489219622325</v>
      </c>
      <c r="AB33" s="8">
        <v>10.740353082714901</v>
      </c>
      <c r="AC33" s="8">
        <v>941.44750125038888</v>
      </c>
      <c r="AD33" s="8"/>
      <c r="AE33" s="8">
        <v>76.663899590413251</v>
      </c>
      <c r="AF33" s="8">
        <v>17.406779134055185</v>
      </c>
      <c r="AG33" s="8">
        <v>16903.09361017614</v>
      </c>
      <c r="AH33" s="8">
        <v>674.04974519107304</v>
      </c>
      <c r="AI33" s="8">
        <v>12.59213809697609</v>
      </c>
      <c r="AJ33" s="8">
        <v>83.700682644605777</v>
      </c>
      <c r="AK33" s="8">
        <v>15.184637116941758</v>
      </c>
    </row>
    <row r="34" spans="1:37" x14ac:dyDescent="0.25">
      <c r="A34" s="7" t="s">
        <v>66</v>
      </c>
      <c r="B34" s="8">
        <v>29.5</v>
      </c>
      <c r="C34" s="8">
        <v>0.54996911765023959</v>
      </c>
      <c r="D34" s="8">
        <v>0.6374542527291589</v>
      </c>
      <c r="E34" s="9">
        <f>AVERAGE(E33,E35)</f>
        <v>8.1024999999999991</v>
      </c>
      <c r="F34" s="8">
        <v>52.618242523744478</v>
      </c>
      <c r="G34" s="8">
        <v>49.306604882389934</v>
      </c>
      <c r="H34" s="8">
        <v>258.14419836435326</v>
      </c>
      <c r="I34" s="8">
        <v>67.091325548923606</v>
      </c>
      <c r="J34" s="8">
        <v>774.96868069161724</v>
      </c>
      <c r="K34" s="8">
        <v>2.7969028524082051</v>
      </c>
      <c r="L34" s="8">
        <v>310.28613744955726</v>
      </c>
      <c r="M34" s="8"/>
      <c r="N34" s="8">
        <v>0.20115132340079475</v>
      </c>
      <c r="O34" s="8">
        <v>49.109950844674927</v>
      </c>
      <c r="P34" s="8">
        <v>-9.0127333486558658</v>
      </c>
      <c r="Q34" s="8">
        <v>-84.310176711359304</v>
      </c>
      <c r="R34" s="8">
        <v>87.901492949534287</v>
      </c>
      <c r="S34" s="8">
        <v>177.43836251208316</v>
      </c>
      <c r="T34" s="8">
        <v>600.59206112960874</v>
      </c>
      <c r="U34" s="8">
        <v>139.41585625949392</v>
      </c>
      <c r="V34" s="8"/>
      <c r="W34" s="8">
        <v>11.447636291102139</v>
      </c>
      <c r="X34" s="8">
        <v>67.868129440105548</v>
      </c>
      <c r="Y34" s="8">
        <v>227.31734920902818</v>
      </c>
      <c r="Z34" s="8">
        <v>4.4972856857901267</v>
      </c>
      <c r="AA34" s="8">
        <v>283.73784235803163</v>
      </c>
      <c r="AB34" s="8">
        <v>13.900701210624026</v>
      </c>
      <c r="AC34" s="8">
        <v>1040.5083700305338</v>
      </c>
      <c r="AD34" s="8"/>
      <c r="AE34" s="8">
        <v>83.404207263744169</v>
      </c>
      <c r="AF34" s="8">
        <v>29.027934881008999</v>
      </c>
      <c r="AG34" s="8">
        <v>19992.479094103379</v>
      </c>
      <c r="AH34" s="8">
        <v>883.10337102787935</v>
      </c>
      <c r="AI34" s="8">
        <v>13.900701210624026</v>
      </c>
      <c r="AJ34" s="8">
        <v>84.630739723505101</v>
      </c>
      <c r="AK34" s="8">
        <v>8.5857272183266051</v>
      </c>
    </row>
    <row r="35" spans="1:37" x14ac:dyDescent="0.25">
      <c r="A35" s="7" t="s">
        <v>67</v>
      </c>
      <c r="B35" s="8">
        <v>30.5</v>
      </c>
      <c r="C35" s="8">
        <v>0.54959104103462963</v>
      </c>
      <c r="D35" s="8">
        <v>0.61967855200384547</v>
      </c>
      <c r="E35" s="10">
        <v>8.0559999999999992</v>
      </c>
      <c r="F35" s="8">
        <v>47.039639329159066</v>
      </c>
      <c r="G35" s="8">
        <v>41.938530223670519</v>
      </c>
      <c r="H35" s="8">
        <v>201.22022077013634</v>
      </c>
      <c r="I35" s="8">
        <v>59.88066657567434</v>
      </c>
      <c r="J35" s="8">
        <v>735.1512744730079</v>
      </c>
      <c r="K35" s="8">
        <v>2.2081271595038641</v>
      </c>
      <c r="L35" s="8">
        <v>214.4195612167949</v>
      </c>
      <c r="M35" s="8"/>
      <c r="N35" s="8"/>
      <c r="O35" s="8">
        <v>48.451711053861771</v>
      </c>
      <c r="P35" s="8">
        <v>-9.0617698307813743</v>
      </c>
      <c r="Q35" s="8">
        <v>-84.095463184958248</v>
      </c>
      <c r="R35" s="8">
        <v>215.34093801716344</v>
      </c>
      <c r="S35" s="8">
        <v>189.30586559295719</v>
      </c>
      <c r="T35" s="8">
        <v>518.93635882824628</v>
      </c>
      <c r="U35" s="8">
        <v>118.70227935782164</v>
      </c>
      <c r="V35" s="8"/>
      <c r="W35" s="8">
        <v>8.825448279391944</v>
      </c>
      <c r="X35" s="8">
        <v>130.17536212103118</v>
      </c>
      <c r="Y35" s="8">
        <v>187.54077593707882</v>
      </c>
      <c r="Z35" s="8">
        <v>1.7650896558783888</v>
      </c>
      <c r="AA35" s="8">
        <v>150.03262074966304</v>
      </c>
      <c r="AB35" s="8">
        <v>11.914355177179125</v>
      </c>
      <c r="AC35" s="8">
        <v>1057.7299762851244</v>
      </c>
      <c r="AD35" s="8"/>
      <c r="AE35" s="8">
        <v>69.279768993226753</v>
      </c>
      <c r="AF35" s="8">
        <v>43.685968982990126</v>
      </c>
      <c r="AG35" s="8">
        <v>21220.79038779793</v>
      </c>
      <c r="AH35" s="8">
        <v>763.40127616740313</v>
      </c>
      <c r="AI35" s="8">
        <v>13.679444833057513</v>
      </c>
      <c r="AJ35" s="8">
        <v>91.343389691706619</v>
      </c>
      <c r="AK35" s="8">
        <v>5.7365413816047637</v>
      </c>
    </row>
    <row r="36" spans="1:37" x14ac:dyDescent="0.25">
      <c r="A36" s="7" t="s">
        <v>68</v>
      </c>
      <c r="B36" s="8">
        <v>31.5</v>
      </c>
      <c r="C36" s="8">
        <v>0.56840479992284987</v>
      </c>
      <c r="D36" s="8">
        <v>0.64256890808762146</v>
      </c>
      <c r="E36" s="9">
        <f>AVERAGE(E37,E35)</f>
        <v>8.036999999999999</v>
      </c>
      <c r="F36" s="8">
        <v>54.982542780611816</v>
      </c>
      <c r="G36" s="8">
        <v>49.863782778564484</v>
      </c>
      <c r="H36" s="8">
        <v>237.53694043983415</v>
      </c>
      <c r="I36" s="8">
        <v>67.691188302936212</v>
      </c>
      <c r="J36" s="8">
        <v>776.8539373779281</v>
      </c>
      <c r="K36" s="8">
        <v>3.2247389933204373</v>
      </c>
      <c r="L36" s="8">
        <v>285.31173557688805</v>
      </c>
      <c r="M36" s="8"/>
      <c r="N36" s="8"/>
      <c r="O36" s="8">
        <v>56.470602394422762</v>
      </c>
      <c r="P36" s="8">
        <v>-9.1014660305972601</v>
      </c>
      <c r="Q36" s="8">
        <v>-84.36193800790241</v>
      </c>
      <c r="R36" s="8">
        <v>57.806686230017242</v>
      </c>
      <c r="S36" s="8">
        <v>209.60439663555866</v>
      </c>
      <c r="T36" s="8">
        <v>580.71449678398994</v>
      </c>
      <c r="U36" s="8">
        <v>142.97226212614947</v>
      </c>
      <c r="V36" s="8"/>
      <c r="W36" s="8">
        <v>4.8539965536655698</v>
      </c>
      <c r="X36" s="8">
        <v>23.387437940388651</v>
      </c>
      <c r="Y36" s="8">
        <v>224.16638629655537</v>
      </c>
      <c r="Z36" s="8">
        <v>6.1778137955743606</v>
      </c>
      <c r="AA36" s="8">
        <v>212.69330353334587</v>
      </c>
      <c r="AB36" s="8">
        <v>12.355627591148721</v>
      </c>
      <c r="AC36" s="8">
        <v>963.73895210960029</v>
      </c>
      <c r="AD36" s="8"/>
      <c r="AE36" s="8">
        <v>55.159051746199651</v>
      </c>
      <c r="AF36" s="8">
        <v>39.714517257263751</v>
      </c>
      <c r="AG36" s="8">
        <v>21375.235732687288</v>
      </c>
      <c r="AH36" s="8">
        <v>907.69735553546138</v>
      </c>
      <c r="AI36" s="8">
        <v>5.7365413816047637</v>
      </c>
      <c r="AJ36" s="8">
        <v>75.457582788801133</v>
      </c>
      <c r="AK36" s="8">
        <v>7.9429034514527501</v>
      </c>
    </row>
    <row r="37" spans="1:37" x14ac:dyDescent="0.25">
      <c r="A37" s="7" t="s">
        <v>69</v>
      </c>
      <c r="B37" s="8">
        <v>32.5</v>
      </c>
      <c r="C37" s="8">
        <v>0.53849397658191589</v>
      </c>
      <c r="D37" s="8">
        <v>0.62216647686105386</v>
      </c>
      <c r="E37" s="10">
        <v>8.0180000000000007</v>
      </c>
      <c r="F37" s="8">
        <v>58.819362897531832</v>
      </c>
      <c r="G37" s="8">
        <v>54.054554058317201</v>
      </c>
      <c r="H37" s="8">
        <v>250.77309042017828</v>
      </c>
      <c r="I37" s="8">
        <v>69.550192888368144</v>
      </c>
      <c r="J37" s="8">
        <v>833.49533626737252</v>
      </c>
      <c r="K37" s="8">
        <v>2.6026266768819397</v>
      </c>
      <c r="L37" s="8">
        <v>291.84694382652071</v>
      </c>
      <c r="M37" s="8"/>
      <c r="N37" s="8">
        <v>0.13133254615650403</v>
      </c>
      <c r="O37" s="8">
        <v>61.017181025132594</v>
      </c>
      <c r="P37" s="8">
        <v>-9.0353655711753316</v>
      </c>
      <c r="Q37" s="8">
        <v>-84.622661575675139</v>
      </c>
      <c r="R37" s="8">
        <v>47.247684288010589</v>
      </c>
      <c r="S37" s="8">
        <v>176.5782099238362</v>
      </c>
      <c r="T37" s="8">
        <v>611.41706701518785</v>
      </c>
      <c r="U37" s="8">
        <v>158.15962113359478</v>
      </c>
      <c r="V37" s="8"/>
      <c r="W37" s="8"/>
      <c r="X37" s="8">
        <v>24.02424624814098</v>
      </c>
      <c r="Y37" s="8">
        <v>234.23640091937455</v>
      </c>
      <c r="Z37" s="8">
        <v>8.408486186849343</v>
      </c>
      <c r="AA37" s="8">
        <v>171.37295657007232</v>
      </c>
      <c r="AB37" s="8">
        <v>14.814951853020272</v>
      </c>
      <c r="AC37" s="8">
        <v>967.77671969594576</v>
      </c>
      <c r="AD37" s="8"/>
      <c r="AE37" s="8">
        <v>47.247684288010589</v>
      </c>
      <c r="AF37" s="8">
        <v>28.028287289497811</v>
      </c>
      <c r="AG37" s="8">
        <v>21709.91052623673</v>
      </c>
      <c r="AH37" s="8">
        <v>970.97995252903127</v>
      </c>
      <c r="AI37" s="8">
        <v>9.6096984992563907</v>
      </c>
      <c r="AJ37" s="8">
        <v>58.458999203809718</v>
      </c>
      <c r="AK37" s="8">
        <v>4.0040410413568299</v>
      </c>
    </row>
    <row r="38" spans="1:37" x14ac:dyDescent="0.25">
      <c r="A38" s="7" t="s">
        <v>70</v>
      </c>
      <c r="B38" s="8">
        <v>33.5</v>
      </c>
      <c r="C38" s="8">
        <v>0.61160151531948292</v>
      </c>
      <c r="D38" s="8">
        <v>0.75890160634775683</v>
      </c>
      <c r="E38" s="9">
        <f>AVERAGE(E16:E37)</f>
        <v>8.0883636363636384</v>
      </c>
      <c r="F38" s="8">
        <v>93.594242417044782</v>
      </c>
      <c r="G38" s="8">
        <v>85.200655566376142</v>
      </c>
      <c r="H38" s="8">
        <v>374.72191159354907</v>
      </c>
      <c r="I38" s="8">
        <v>103.88500985724811</v>
      </c>
      <c r="J38" s="8">
        <v>1266.8949282674948</v>
      </c>
      <c r="K38" s="8">
        <v>3.1245989406427417</v>
      </c>
      <c r="L38" s="8">
        <v>439.63078349682928</v>
      </c>
      <c r="M38" s="8"/>
      <c r="N38" s="8"/>
      <c r="O38" s="8">
        <v>110.20549573644337</v>
      </c>
      <c r="P38" s="8">
        <v>-9.1124827738342482</v>
      </c>
      <c r="Q38" s="8">
        <v>-86.470731570769942</v>
      </c>
      <c r="R38" s="8">
        <v>55.765611268140937</v>
      </c>
      <c r="S38" s="8">
        <v>231.11108999786242</v>
      </c>
      <c r="T38" s="8">
        <v>892.24978029025499</v>
      </c>
      <c r="U38" s="8">
        <v>253.53231514690876</v>
      </c>
      <c r="V38" s="8"/>
      <c r="W38" s="8"/>
      <c r="X38" s="8">
        <v>37.368708581743924</v>
      </c>
      <c r="Y38" s="8">
        <v>366.78824731004033</v>
      </c>
      <c r="Z38" s="8">
        <v>13.797677014797754</v>
      </c>
      <c r="AA38" s="8">
        <v>281.70257238545418</v>
      </c>
      <c r="AB38" s="8">
        <v>18.396902686397009</v>
      </c>
      <c r="AC38" s="8">
        <v>1409.0877651362209</v>
      </c>
      <c r="AD38" s="8"/>
      <c r="AE38" s="8">
        <v>58.065224103940551</v>
      </c>
      <c r="AF38" s="8">
        <v>20.696515522196634</v>
      </c>
      <c r="AG38" s="8">
        <v>33838.802878791495</v>
      </c>
      <c r="AH38" s="8">
        <v>1536.7162775230997</v>
      </c>
      <c r="AI38" s="8">
        <v>18.396902686397009</v>
      </c>
      <c r="AJ38" s="8">
        <v>75.887223581387644</v>
      </c>
      <c r="AK38" s="8">
        <v>4.5992256715992523</v>
      </c>
    </row>
    <row r="39" spans="1:37" x14ac:dyDescent="0.25">
      <c r="A39" s="7" t="s">
        <v>71</v>
      </c>
      <c r="B39" s="8">
        <v>34.5</v>
      </c>
      <c r="C39" s="8">
        <v>0.50413465550497705</v>
      </c>
      <c r="D39" s="8">
        <v>0.70578188893532268</v>
      </c>
      <c r="E39" s="9">
        <f>AVERAGE(E38,E40)</f>
        <v>7.9586818181818195</v>
      </c>
      <c r="F39" s="8">
        <v>74.85619945339954</v>
      </c>
      <c r="G39" s="8">
        <v>66.302555450201737</v>
      </c>
      <c r="H39" s="8">
        <v>284.39684868090814</v>
      </c>
      <c r="I39" s="8">
        <v>82.511947124769961</v>
      </c>
      <c r="J39" s="8"/>
      <c r="K39" s="8"/>
      <c r="L39" s="8"/>
      <c r="M39" s="8"/>
      <c r="N39" s="8"/>
      <c r="O39" s="8"/>
      <c r="P39" s="8">
        <v>-9.344313370647388</v>
      </c>
      <c r="Q39" s="8">
        <v>-84.883385143447839</v>
      </c>
      <c r="R39" s="8">
        <v>60.962435160912506</v>
      </c>
      <c r="S39" s="8">
        <v>178.16153531522491</v>
      </c>
      <c r="T39" s="8">
        <v>670.58678677003763</v>
      </c>
      <c r="U39" s="8">
        <v>200.37265510253411</v>
      </c>
      <c r="V39" s="8"/>
      <c r="W39" s="8">
        <v>6.6160782345176363</v>
      </c>
      <c r="X39" s="8">
        <v>30.244929072080623</v>
      </c>
      <c r="Y39" s="8">
        <v>282.12847900050207</v>
      </c>
      <c r="Z39" s="8">
        <v>14.177310502537793</v>
      </c>
      <c r="AA39" s="8">
        <v>238.65139345938616</v>
      </c>
      <c r="AB39" s="8">
        <v>15.122464536040312</v>
      </c>
      <c r="AC39" s="8">
        <v>1211.6874709502301</v>
      </c>
      <c r="AD39" s="8"/>
      <c r="AE39" s="8">
        <v>43.477085541115891</v>
      </c>
      <c r="AF39" s="8">
        <v>40.169046423857075</v>
      </c>
      <c r="AG39" s="8">
        <v>28028.542863517214</v>
      </c>
      <c r="AH39" s="8">
        <v>1213.1052020004836</v>
      </c>
      <c r="AI39" s="8">
        <v>12.287002435532754</v>
      </c>
      <c r="AJ39" s="8">
        <v>75.139745663450299</v>
      </c>
      <c r="AK39" s="8">
        <v>7.5612322680201558</v>
      </c>
    </row>
    <row r="40" spans="1:37" x14ac:dyDescent="0.25">
      <c r="A40" s="7" t="s">
        <v>72</v>
      </c>
      <c r="B40" s="8">
        <v>35.5</v>
      </c>
      <c r="C40" s="8">
        <v>0.50437167230040447</v>
      </c>
      <c r="D40" s="8">
        <v>0.74909763162091336</v>
      </c>
      <c r="E40" s="10">
        <v>7.8289999999999997</v>
      </c>
      <c r="F40" s="8">
        <v>66.349813151876859</v>
      </c>
      <c r="G40" s="8">
        <v>48.565049067345882</v>
      </c>
      <c r="H40" s="8">
        <v>213.40641725971989</v>
      </c>
      <c r="I40" s="8">
        <v>64.153830249456902</v>
      </c>
      <c r="J40" s="8"/>
      <c r="K40" s="8"/>
      <c r="L40" s="8"/>
      <c r="M40" s="8"/>
      <c r="N40" s="8"/>
      <c r="O40" s="8"/>
      <c r="P40" s="8">
        <v>-9.4243045063246509</v>
      </c>
      <c r="Q40" s="8">
        <v>-83.983633223291037</v>
      </c>
      <c r="R40" s="8">
        <v>44.767781856318834</v>
      </c>
      <c r="S40" s="8">
        <v>111.91945464079708</v>
      </c>
      <c r="T40" s="8">
        <v>491.64617574350149</v>
      </c>
      <c r="U40" s="8">
        <v>147.89356506105329</v>
      </c>
      <c r="V40" s="8"/>
      <c r="W40" s="8">
        <v>4.3968357180313147</v>
      </c>
      <c r="X40" s="8">
        <v>24.782164956176501</v>
      </c>
      <c r="Y40" s="8">
        <v>201.45501835343475</v>
      </c>
      <c r="Z40" s="8">
        <v>10.792233126076862</v>
      </c>
      <c r="AA40" s="8">
        <v>151.89068844108178</v>
      </c>
      <c r="AB40" s="8">
        <v>9.9928084500711698</v>
      </c>
      <c r="AC40" s="8">
        <v>1032.0572567233503</v>
      </c>
      <c r="AD40" s="8">
        <v>13.989931830099636</v>
      </c>
      <c r="AE40" s="8">
        <v>29.57871301221066</v>
      </c>
      <c r="AF40" s="8">
        <v>23.183315604165109</v>
      </c>
      <c r="AG40" s="8">
        <v>21876.256258895803</v>
      </c>
      <c r="AH40" s="8">
        <v>893.35707543636249</v>
      </c>
      <c r="AI40" s="8">
        <v>10.792233126076862</v>
      </c>
      <c r="AJ40" s="8">
        <v>64.753398756461166</v>
      </c>
      <c r="AK40" s="8">
        <v>3.5974110420256209</v>
      </c>
    </row>
    <row r="41" spans="1:37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1:37" x14ac:dyDescent="0.25">
      <c r="B42" s="8"/>
      <c r="C42" s="8"/>
      <c r="D42" s="8"/>
      <c r="E42" s="8"/>
      <c r="F42" s="8"/>
      <c r="G42" s="8"/>
      <c r="H42" s="8" t="s">
        <v>77</v>
      </c>
      <c r="I42" s="8" t="s">
        <v>78</v>
      </c>
      <c r="J42" s="8" t="s">
        <v>79</v>
      </c>
      <c r="K42" s="8" t="s">
        <v>80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x14ac:dyDescent="0.25">
      <c r="B43" s="8"/>
      <c r="C43" s="8"/>
      <c r="D43" s="8"/>
      <c r="E43" s="8"/>
      <c r="F43" s="8"/>
      <c r="H43" s="8">
        <v>0</v>
      </c>
      <c r="I43" s="11">
        <v>1.09E-9</v>
      </c>
      <c r="J43" s="8">
        <f>0.0000000011203*EXP(0.027011*H43)</f>
        <v>1.1202999999999999E-9</v>
      </c>
      <c r="K43" s="11">
        <f>I43-J43</f>
        <v>-3.0299999999999988E-11</v>
      </c>
      <c r="L43" s="8"/>
      <c r="M43" s="8"/>
      <c r="N43" s="8"/>
      <c r="O43" s="8"/>
      <c r="P43" s="8"/>
      <c r="Q43" s="8"/>
      <c r="R43" s="8"/>
      <c r="S43" s="8"/>
      <c r="T43" s="11"/>
      <c r="U43" s="8"/>
      <c r="V43" s="11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x14ac:dyDescent="0.25">
      <c r="B44" s="8"/>
      <c r="C44" s="8"/>
      <c r="D44" s="8"/>
      <c r="E44" s="8"/>
      <c r="F44" s="8"/>
      <c r="G44" s="8"/>
      <c r="H44" s="8">
        <v>10</v>
      </c>
      <c r="I44" s="11">
        <v>1.43E-9</v>
      </c>
      <c r="J44" s="8">
        <f t="shared" ref="J44:J50" si="0">0.0000000011203*EXP(0.027011*H44)</f>
        <v>1.4677146138846364E-9</v>
      </c>
      <c r="K44" s="11">
        <f t="shared" ref="K44:K49" si="1">I44-J44</f>
        <v>-3.7714613884636331E-11</v>
      </c>
      <c r="L44" s="8"/>
      <c r="M44" s="8"/>
      <c r="N44" s="8"/>
      <c r="O44" s="8"/>
      <c r="P44" s="8"/>
      <c r="Q44" s="8"/>
      <c r="R44" s="8"/>
      <c r="S44" s="8"/>
      <c r="T44" s="11"/>
      <c r="U44" s="8"/>
      <c r="V44" s="11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37" x14ac:dyDescent="0.25">
      <c r="B45" s="8"/>
      <c r="C45" s="8"/>
      <c r="D45" s="8"/>
      <c r="E45" s="8"/>
      <c r="F45" s="8"/>
      <c r="G45" s="8"/>
      <c r="H45" s="8">
        <v>20</v>
      </c>
      <c r="I45" s="11">
        <v>1.9099999999999998E-9</v>
      </c>
      <c r="J45" s="8">
        <f t="shared" si="0"/>
        <v>1.922865471579512E-9</v>
      </c>
      <c r="K45" s="11">
        <f t="shared" si="1"/>
        <v>-1.2865471579512197E-11</v>
      </c>
      <c r="L45" s="8"/>
      <c r="M45" s="8"/>
      <c r="N45" s="8"/>
      <c r="O45" s="8"/>
      <c r="P45" s="8"/>
      <c r="Q45" s="8"/>
      <c r="R45" s="8"/>
      <c r="S45" s="8"/>
      <c r="T45" s="11"/>
      <c r="U45" s="8"/>
      <c r="V45" s="11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37" x14ac:dyDescent="0.25">
      <c r="B46" s="8"/>
      <c r="C46" s="8"/>
      <c r="D46" s="8"/>
      <c r="E46" s="8"/>
      <c r="F46" s="8"/>
      <c r="G46" s="8"/>
      <c r="H46" s="8">
        <v>25</v>
      </c>
      <c r="I46" s="11">
        <v>2.2999999999999999E-9</v>
      </c>
      <c r="J46" s="8">
        <f t="shared" si="0"/>
        <v>2.2009113103750419E-9</v>
      </c>
      <c r="K46" s="11">
        <f t="shared" si="1"/>
        <v>9.9088689624958039E-11</v>
      </c>
      <c r="L46" s="8"/>
      <c r="M46" s="8"/>
      <c r="N46" s="8"/>
      <c r="O46" s="8"/>
      <c r="P46" s="8"/>
      <c r="Q46" s="8"/>
      <c r="R46" s="8"/>
      <c r="S46" s="8"/>
      <c r="T46" s="11"/>
      <c r="U46" s="8"/>
      <c r="V46" s="11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1:37" x14ac:dyDescent="0.25">
      <c r="B47" s="8"/>
      <c r="C47" s="8"/>
      <c r="D47" s="8"/>
      <c r="E47" s="8"/>
      <c r="F47" s="8"/>
      <c r="G47" s="8"/>
      <c r="H47" s="8">
        <v>30</v>
      </c>
      <c r="I47" s="11">
        <v>2.7000000000000002E-9</v>
      </c>
      <c r="J47" s="8">
        <f t="shared" si="0"/>
        <v>2.5191625039466423E-9</v>
      </c>
      <c r="K47" s="11">
        <f t="shared" si="1"/>
        <v>1.8083749605335793E-10</v>
      </c>
      <c r="L47" s="8"/>
      <c r="M47" s="8"/>
      <c r="N47" s="8"/>
      <c r="O47" s="8"/>
      <c r="P47" s="8"/>
      <c r="Q47" s="8"/>
      <c r="R47" s="8"/>
      <c r="S47" s="8"/>
      <c r="T47" s="11"/>
      <c r="U47" s="8"/>
      <c r="V47" s="11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1:37" x14ac:dyDescent="0.25">
      <c r="B48" s="8"/>
      <c r="C48" s="8"/>
      <c r="D48" s="8"/>
      <c r="E48" s="8"/>
      <c r="F48" s="8"/>
      <c r="G48" s="8"/>
      <c r="H48" s="8">
        <v>40</v>
      </c>
      <c r="I48" s="11">
        <v>3.34E-9</v>
      </c>
      <c r="J48" s="8">
        <f t="shared" si="0"/>
        <v>3.300376347221905E-9</v>
      </c>
      <c r="K48" s="11">
        <f t="shared" si="1"/>
        <v>3.962365277809502E-11</v>
      </c>
      <c r="L48" s="8"/>
      <c r="M48" s="8"/>
      <c r="N48" s="8"/>
      <c r="O48" s="8"/>
      <c r="P48" s="8"/>
      <c r="Q48" s="8"/>
      <c r="R48" s="8"/>
      <c r="S48" s="8"/>
      <c r="T48" s="11"/>
      <c r="U48" s="8"/>
      <c r="V48" s="11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2:37" x14ac:dyDescent="0.25">
      <c r="B49" s="8"/>
      <c r="C49" s="8"/>
      <c r="D49" s="8"/>
      <c r="E49" s="8"/>
      <c r="F49" s="8"/>
      <c r="G49" s="8"/>
      <c r="H49" s="8">
        <v>50</v>
      </c>
      <c r="I49" s="11">
        <v>4.0499999999999999E-9</v>
      </c>
      <c r="J49" s="8">
        <f t="shared" si="0"/>
        <v>4.3238512863847048E-9</v>
      </c>
      <c r="K49" s="11">
        <f t="shared" si="1"/>
        <v>-2.7385128638470497E-10</v>
      </c>
      <c r="L49" s="8"/>
      <c r="M49" s="8"/>
      <c r="N49" s="8"/>
      <c r="O49" s="8"/>
      <c r="P49" s="8"/>
      <c r="Q49" s="8"/>
      <c r="R49" s="8"/>
      <c r="S49" s="8"/>
      <c r="T49" s="11"/>
      <c r="U49" s="8"/>
      <c r="V49" s="11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2:37" x14ac:dyDescent="0.25">
      <c r="B50" s="8"/>
      <c r="C50" s="8"/>
      <c r="D50" s="8"/>
      <c r="E50" s="8"/>
      <c r="F50" s="8"/>
      <c r="G50" s="8"/>
      <c r="H50" s="12">
        <v>11</v>
      </c>
      <c r="I50" s="8"/>
      <c r="J50" s="13">
        <f t="shared" si="0"/>
        <v>1.5078993247518668E-9</v>
      </c>
      <c r="K50" s="11"/>
      <c r="L50" s="8"/>
      <c r="M50" s="8"/>
      <c r="N50" s="8"/>
      <c r="O50" s="8"/>
      <c r="P50" s="8"/>
      <c r="Q50" s="8"/>
      <c r="R50" s="8"/>
      <c r="S50"/>
      <c r="T50"/>
      <c r="U50"/>
      <c r="V50" s="11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2:37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2:37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spans="2:37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2:37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2:37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2:37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2:37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</row>
    <row r="58" spans="2:37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</row>
    <row r="59" spans="2:37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2:37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</row>
    <row r="61" spans="2:37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</row>
    <row r="62" spans="2:37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spans="2:37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</row>
    <row r="64" spans="2:37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</row>
    <row r="65" spans="2:37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</row>
    <row r="66" spans="2:37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2:37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</row>
    <row r="68" spans="2:37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</row>
    <row r="69" spans="2:37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 spans="2:37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 spans="2:37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</row>
    <row r="72" spans="2:37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 spans="2:37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2:37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2:37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spans="2:37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 spans="2:37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</row>
    <row r="78" spans="2:37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 spans="2:37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spans="2:37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spans="2:37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spans="2:37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2:37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spans="2:37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  <row r="85" spans="2:37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</row>
    <row r="86" spans="2:37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</row>
    <row r="87" spans="2:37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</row>
    <row r="88" spans="2:37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</row>
    <row r="89" spans="2:37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</row>
    <row r="90" spans="2:37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</row>
    <row r="91" spans="2:37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</row>
    <row r="92" spans="2:37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</row>
    <row r="93" spans="2:37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</row>
    <row r="94" spans="2:37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</row>
    <row r="95" spans="2:37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</row>
    <row r="96" spans="2:37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</row>
    <row r="97" spans="2:37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</row>
    <row r="98" spans="2:37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</row>
    <row r="99" spans="2:37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</row>
    <row r="100" spans="2:37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</row>
    <row r="101" spans="2:37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</row>
    <row r="102" spans="2:37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</row>
    <row r="103" spans="2:37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</row>
    <row r="104" spans="2:37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</row>
    <row r="105" spans="2:37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</row>
    <row r="106" spans="2:37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</row>
    <row r="107" spans="2:37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</row>
    <row r="108" spans="2:37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</row>
    <row r="109" spans="2:37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</row>
    <row r="110" spans="2:37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</row>
    <row r="111" spans="2:37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</row>
    <row r="112" spans="2:37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</row>
    <row r="113" spans="2:37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</row>
    <row r="114" spans="2:37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</row>
    <row r="115" spans="2:37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</row>
    <row r="116" spans="2:37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</row>
    <row r="117" spans="2:37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</row>
    <row r="118" spans="2:37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</row>
    <row r="119" spans="2:37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</row>
    <row r="120" spans="2:37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</row>
    <row r="121" spans="2:37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</row>
    <row r="122" spans="2:37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</row>
    <row r="123" spans="2:37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</row>
    <row r="124" spans="2:37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</row>
    <row r="125" spans="2:37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</row>
    <row r="126" spans="2:37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</row>
    <row r="127" spans="2:37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</row>
    <row r="128" spans="2:37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</row>
    <row r="129" spans="2:37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</row>
    <row r="130" spans="2:37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</row>
    <row r="131" spans="2:37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</row>
    <row r="132" spans="2:37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</row>
    <row r="133" spans="2:37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</row>
    <row r="134" spans="2:37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</row>
    <row r="135" spans="2:37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</row>
    <row r="136" spans="2:37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</row>
    <row r="137" spans="2:37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</row>
    <row r="138" spans="2:37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</row>
    <row r="139" spans="2:37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</row>
    <row r="140" spans="2:37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</row>
    <row r="141" spans="2:37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</row>
    <row r="142" spans="2:37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</row>
    <row r="143" spans="2:37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</row>
    <row r="144" spans="2:37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</row>
    <row r="145" spans="2:37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</row>
    <row r="146" spans="2:37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</row>
    <row r="147" spans="2:37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</row>
    <row r="148" spans="2:37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</row>
    <row r="149" spans="2:37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</row>
    <row r="150" spans="2:37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</row>
    <row r="151" spans="2:37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</row>
    <row r="152" spans="2:37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</row>
    <row r="153" spans="2:37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</row>
    <row r="154" spans="2:37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</row>
    <row r="155" spans="2:37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</row>
    <row r="156" spans="2:37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</row>
    <row r="157" spans="2:37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</row>
    <row r="158" spans="2:37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</row>
    <row r="159" spans="2:37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</row>
    <row r="160" spans="2:37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</row>
    <row r="161" spans="2:37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</row>
    <row r="162" spans="2:37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</row>
    <row r="163" spans="2:37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</row>
    <row r="164" spans="2:37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</row>
    <row r="165" spans="2:37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spans="2:37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spans="2:37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</row>
    <row r="168" spans="2:37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spans="2:37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spans="2:37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spans="2:37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spans="2:37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spans="2:37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spans="2:37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spans="2:37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spans="2:37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</row>
    <row r="177" spans="2:37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</row>
    <row r="178" spans="2:37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</row>
    <row r="179" spans="2:37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</row>
    <row r="180" spans="2:37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</row>
    <row r="181" spans="2:37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spans="2:37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spans="2:37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</row>
    <row r="184" spans="2:37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spans="2:37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spans="2:37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2:37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2:37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2:37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2:37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2:37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2:37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2:37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2:37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2:37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2:37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2:37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2:37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2:37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2:37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2:37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2:37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2:37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2:37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2:37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2:37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2:37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2:37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2:37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2:37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2:37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2:37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2:37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2:37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2:37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2:37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2:37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2:37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2:37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2:37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2:37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2:37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2:37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2:37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2:37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2:37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2:37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2:37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2:37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2:37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2:37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2:37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2:37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2:37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2:37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2:37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2:37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2:37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2:37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2:37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2:37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2:37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2:37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2:37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2:37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2:37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2:37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2:37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2:37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2:37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2:37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2:37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2:37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2:37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2:37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2:37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2:37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2:37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2:37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2:37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2:37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2:37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2:37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2:37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2:37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2:37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2:37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2:37" x14ac:dyDescent="0.2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2:37" x14ac:dyDescent="0.2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2:37" x14ac:dyDescent="0.2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2:37" x14ac:dyDescent="0.2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2:37" x14ac:dyDescent="0.2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2:37" x14ac:dyDescent="0.2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2:37" x14ac:dyDescent="0.2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2:37" x14ac:dyDescent="0.2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2:37" x14ac:dyDescent="0.2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2:37" x14ac:dyDescent="0.2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2:37" x14ac:dyDescent="0.2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2:37" x14ac:dyDescent="0.2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2:37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2:37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2:37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2:37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2:37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2:37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2:37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2:37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2:37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2:37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2:37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2:37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2:37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2:37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2:37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2:37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2:37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2:37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2:37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2:37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2:37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2:37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2:37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2:37" x14ac:dyDescent="0.2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2:37" x14ac:dyDescent="0.2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2:37" x14ac:dyDescent="0.2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2:37" x14ac:dyDescent="0.2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2:37" x14ac:dyDescent="0.2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2:37" x14ac:dyDescent="0.2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2:37" x14ac:dyDescent="0.2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2:37" x14ac:dyDescent="0.2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2:37" x14ac:dyDescent="0.2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2:37" x14ac:dyDescent="0.2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2:37" x14ac:dyDescent="0.2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2:37" x14ac:dyDescent="0.2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2:37" x14ac:dyDescent="0.2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2:37" x14ac:dyDescent="0.2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2:37" x14ac:dyDescent="0.2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2:37" x14ac:dyDescent="0.2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2:37" x14ac:dyDescent="0.2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2:37" x14ac:dyDescent="0.2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2:37" x14ac:dyDescent="0.25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2:37" x14ac:dyDescent="0.25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2:37" x14ac:dyDescent="0.25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2:37" x14ac:dyDescent="0.25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2:37" x14ac:dyDescent="0.2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2:37" x14ac:dyDescent="0.25">
      <c r="B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2:37" x14ac:dyDescent="0.25">
      <c r="B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2:37" x14ac:dyDescent="0.25">
      <c r="B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663C-23C1-EF45-A0DC-1334D29F7354}">
  <dimension ref="A1:AJ21"/>
  <sheetViews>
    <sheetView topLeftCell="A11" workbookViewId="0">
      <selection activeCell="C2" sqref="C2:D20"/>
    </sheetView>
  </sheetViews>
  <sheetFormatPr baseColWidth="10" defaultColWidth="8.83203125" defaultRowHeight="16" x14ac:dyDescent="0.2"/>
  <cols>
    <col min="1" max="1" width="13" bestFit="1" customWidth="1"/>
    <col min="4" max="4" width="13.6640625" customWidth="1"/>
  </cols>
  <sheetData>
    <row r="1" spans="1:36" s="1" customFormat="1" ht="60" x14ac:dyDescent="0.25">
      <c r="A1" s="1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112</v>
      </c>
      <c r="K1" s="18" t="s">
        <v>113</v>
      </c>
      <c r="L1" s="18" t="s">
        <v>114</v>
      </c>
      <c r="M1" s="18" t="s">
        <v>115</v>
      </c>
      <c r="N1" s="18" t="s">
        <v>14</v>
      </c>
      <c r="O1" s="20" t="s">
        <v>15</v>
      </c>
      <c r="P1" s="20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2" t="s">
        <v>83</v>
      </c>
      <c r="AA1" s="21" t="s">
        <v>27</v>
      </c>
      <c r="AB1" s="21" t="s">
        <v>28</v>
      </c>
      <c r="AC1" s="21" t="s">
        <v>29</v>
      </c>
      <c r="AD1" s="21" t="s">
        <v>30</v>
      </c>
      <c r="AE1" s="21" t="s">
        <v>31</v>
      </c>
      <c r="AF1" s="21" t="s">
        <v>32</v>
      </c>
      <c r="AG1" s="21" t="s">
        <v>33</v>
      </c>
      <c r="AH1" s="21" t="s">
        <v>34</v>
      </c>
      <c r="AI1" s="21" t="s">
        <v>35</v>
      </c>
      <c r="AJ1" s="21" t="s">
        <v>36</v>
      </c>
    </row>
    <row r="2" spans="1:36" s="25" customFormat="1" x14ac:dyDescent="0.2">
      <c r="A2" s="25" t="s">
        <v>116</v>
      </c>
      <c r="B2" s="25">
        <v>0.5</v>
      </c>
      <c r="C2" s="23"/>
      <c r="D2" s="23"/>
      <c r="E2" s="26"/>
      <c r="F2" s="25">
        <v>66.750487444608552</v>
      </c>
      <c r="G2" s="25">
        <v>40.896425406203839</v>
      </c>
      <c r="H2" s="25">
        <v>113.69911373707531</v>
      </c>
      <c r="I2" s="25">
        <v>12.496129985228951</v>
      </c>
      <c r="J2" s="25">
        <v>283.68005802550243</v>
      </c>
      <c r="K2" s="25">
        <v>0.34178286558345639</v>
      </c>
      <c r="L2" s="25">
        <v>143.16295125553913</v>
      </c>
      <c r="N2" s="25">
        <v>157.26908419497784</v>
      </c>
      <c r="O2" s="25">
        <v>-6.9988722775831</v>
      </c>
      <c r="P2" s="25">
        <v>-70.441034456788501</v>
      </c>
      <c r="Q2" s="24">
        <v>13.005376661742982</v>
      </c>
      <c r="R2" s="24"/>
      <c r="S2" s="24">
        <v>0.21153323485967501</v>
      </c>
      <c r="T2" s="24">
        <v>7.1490398818316092E-2</v>
      </c>
      <c r="U2" s="24"/>
      <c r="V2" s="24"/>
      <c r="W2" s="24">
        <v>4.602806499261447E-2</v>
      </c>
      <c r="X2" s="24">
        <v>0.24580945347119643</v>
      </c>
      <c r="Y2" s="24">
        <v>2.3503692762186109E-2</v>
      </c>
      <c r="Z2" s="24">
        <v>1.468980797636632E-2</v>
      </c>
      <c r="AA2" s="24">
        <v>9.7932053175775469E-3</v>
      </c>
      <c r="AB2" s="24">
        <v>0.55527474150664691</v>
      </c>
      <c r="AC2" s="24"/>
      <c r="AD2" s="24"/>
      <c r="AE2" s="24"/>
      <c r="AF2" s="24">
        <v>1.7324180206794682</v>
      </c>
      <c r="AG2" s="24">
        <v>0.91174741506646961</v>
      </c>
      <c r="AH2" s="24"/>
      <c r="AI2" s="24">
        <v>1.2731166912850811E-2</v>
      </c>
      <c r="AJ2" s="24">
        <v>9.7932053175775469E-3</v>
      </c>
    </row>
    <row r="3" spans="1:36" s="25" customFormat="1" x14ac:dyDescent="0.2">
      <c r="A3" s="25" t="s">
        <v>117</v>
      </c>
      <c r="B3" s="25">
        <v>3.5</v>
      </c>
      <c r="C3" s="23">
        <v>0.55614864414970688</v>
      </c>
      <c r="D3" s="23">
        <v>0.24873317705088355</v>
      </c>
      <c r="E3" s="26"/>
      <c r="F3" s="25">
        <v>64.570497762761377</v>
      </c>
      <c r="G3" s="25">
        <v>67.95129257602045</v>
      </c>
      <c r="H3" s="25">
        <v>244.03435576659663</v>
      </c>
      <c r="I3" s="25">
        <v>65.442528170943291</v>
      </c>
      <c r="J3" s="25">
        <v>522.34740898284235</v>
      </c>
      <c r="K3" s="25">
        <v>1.381832800657474</v>
      </c>
      <c r="L3" s="25">
        <v>297.41536180714087</v>
      </c>
      <c r="M3" s="25">
        <v>1.3328649392749519</v>
      </c>
      <c r="N3" s="25">
        <v>199.47494349374486</v>
      </c>
      <c r="O3" s="25">
        <v>-6.7742946854414896</v>
      </c>
      <c r="P3" s="25">
        <v>-73.635005354691799</v>
      </c>
      <c r="Q3" s="24"/>
      <c r="R3" s="24">
        <v>7.0433225276230471E-2</v>
      </c>
      <c r="S3" s="24">
        <v>0.55206232764131125</v>
      </c>
      <c r="T3" s="24">
        <v>0.11135157519861198</v>
      </c>
      <c r="U3" s="24"/>
      <c r="V3" s="24">
        <v>1.6099022920281248E-2</v>
      </c>
      <c r="W3" s="24">
        <v>9.055700392658203E-2</v>
      </c>
      <c r="X3" s="24">
        <v>0.32399283627066017</v>
      </c>
      <c r="Y3" s="24">
        <v>1.3415852433567709E-3</v>
      </c>
      <c r="Z3" s="24">
        <v>3.4881216327276039E-2</v>
      </c>
      <c r="AA3" s="24">
        <v>1.5428230298602866E-2</v>
      </c>
      <c r="AB3" s="24">
        <v>2.0197565838736184</v>
      </c>
      <c r="AC3" s="24"/>
      <c r="AD3" s="24"/>
      <c r="AE3" s="24"/>
      <c r="AF3" s="24">
        <v>21.163507213953061</v>
      </c>
      <c r="AG3" s="24">
        <v>1.2798723221623594</v>
      </c>
      <c r="AH3" s="24">
        <v>6.7079262167838544E-4</v>
      </c>
      <c r="AI3" s="24">
        <v>7.84827367363711E-2</v>
      </c>
      <c r="AJ3" s="24">
        <v>1.744060816363802E-2</v>
      </c>
    </row>
    <row r="4" spans="1:36" s="25" customFormat="1" x14ac:dyDescent="0.2">
      <c r="A4" s="25" t="s">
        <v>118</v>
      </c>
      <c r="B4" s="25">
        <v>4.5</v>
      </c>
      <c r="C4" s="23">
        <v>0.77323873212451832</v>
      </c>
      <c r="D4" s="23">
        <v>0.31295405635528301</v>
      </c>
      <c r="E4" s="26"/>
      <c r="F4" s="25">
        <v>75.604523156622321</v>
      </c>
      <c r="G4" s="25">
        <v>73.234656605076822</v>
      </c>
      <c r="H4" s="25">
        <v>246.33125090657907</v>
      </c>
      <c r="I4" s="25">
        <v>69.496818304265219</v>
      </c>
      <c r="J4" s="25">
        <v>570.16365654020319</v>
      </c>
      <c r="K4" s="25">
        <v>2.0808584355033664</v>
      </c>
      <c r="L4" s="25">
        <v>298.80356445518896</v>
      </c>
      <c r="M4" s="25">
        <v>2.1251730132964934</v>
      </c>
      <c r="N4" s="25">
        <v>217.06243563460535</v>
      </c>
      <c r="O4" s="25">
        <v>-6.8204539848265604</v>
      </c>
      <c r="P4" s="25">
        <v>-73.029349018575502</v>
      </c>
      <c r="Q4" s="24"/>
      <c r="R4" s="24">
        <v>8.2848993265411813E-2</v>
      </c>
      <c r="S4" s="24">
        <v>0.47879011224313572</v>
      </c>
      <c r="T4" s="24">
        <v>0.11752996719046793</v>
      </c>
      <c r="U4" s="24"/>
      <c r="V4" s="24"/>
      <c r="W4" s="24">
        <v>0.37763727162838873</v>
      </c>
      <c r="X4" s="24">
        <v>0.3583700638922464</v>
      </c>
      <c r="Y4" s="24">
        <v>2.8900811604213421E-3</v>
      </c>
      <c r="Z4" s="24">
        <v>5.8764983595233966E-2</v>
      </c>
      <c r="AA4" s="24">
        <v>2.7937451217406307E-2</v>
      </c>
      <c r="AB4" s="24">
        <v>2.4825797168019328</v>
      </c>
      <c r="AC4" s="24"/>
      <c r="AD4" s="24">
        <v>4.3351217406320135E-2</v>
      </c>
      <c r="AE4" s="24"/>
      <c r="AF4" s="24">
        <v>24.546422655845269</v>
      </c>
      <c r="AG4" s="24">
        <v>1.419029849766879</v>
      </c>
      <c r="AH4" s="24">
        <v>1.3487045415299598E-2</v>
      </c>
      <c r="AI4" s="24">
        <v>9.3445957520290071E-2</v>
      </c>
      <c r="AJ4" s="24">
        <v>3.1790892764634766E-2</v>
      </c>
    </row>
    <row r="5" spans="1:36" s="25" customFormat="1" x14ac:dyDescent="0.2">
      <c r="A5" s="25" t="s">
        <v>119</v>
      </c>
      <c r="B5" s="25">
        <v>5.5</v>
      </c>
      <c r="C5" s="23">
        <v>0.53560269605861799</v>
      </c>
      <c r="D5" s="23">
        <v>0.33344209604337655</v>
      </c>
      <c r="E5" s="26"/>
      <c r="F5" s="25">
        <v>71.440466586359221</v>
      </c>
      <c r="G5" s="25">
        <v>74.454591005564183</v>
      </c>
      <c r="H5" s="25">
        <v>273.88507256352904</v>
      </c>
      <c r="I5" s="25">
        <v>74.977365972580756</v>
      </c>
      <c r="J5" s="25">
        <v>571.97093237484989</v>
      </c>
      <c r="K5" s="25">
        <v>1.8019399644352667</v>
      </c>
      <c r="L5" s="25">
        <v>332.68173647106067</v>
      </c>
      <c r="M5" s="25">
        <v>1.5389188091550512</v>
      </c>
      <c r="N5" s="25">
        <v>228.88394993403321</v>
      </c>
      <c r="O5" s="25">
        <v>-6.7965968961950898</v>
      </c>
      <c r="P5" s="25">
        <v>-73.591846527616497</v>
      </c>
      <c r="Q5" s="24"/>
      <c r="R5" s="24">
        <v>7.7599409166523275E-2</v>
      </c>
      <c r="S5" s="24">
        <v>0.59383968909539397</v>
      </c>
      <c r="T5" s="24">
        <v>0.12007487523662022</v>
      </c>
      <c r="U5" s="24"/>
      <c r="V5" s="24"/>
      <c r="W5" s="24">
        <v>0.72535026673550185</v>
      </c>
      <c r="X5" s="24">
        <v>0.36594247691160453</v>
      </c>
      <c r="Y5" s="24">
        <v>9.8020306315608347E-3</v>
      </c>
      <c r="Z5" s="24">
        <v>7.1064722078816048E-2</v>
      </c>
      <c r="AA5" s="24">
        <v>8.8218275684047526E-2</v>
      </c>
      <c r="AB5" s="24">
        <v>2.3933291458727703</v>
      </c>
      <c r="AC5" s="24"/>
      <c r="AD5" s="24"/>
      <c r="AE5" s="24"/>
      <c r="AF5" s="24">
        <v>24.472403143463552</v>
      </c>
      <c r="AG5" s="24">
        <v>1.392705185567602</v>
      </c>
      <c r="AH5" s="24">
        <v>6.5346870877072234E-3</v>
      </c>
      <c r="AI5" s="24">
        <v>7.6782573280559874E-2</v>
      </c>
      <c r="AJ5" s="24">
        <v>3.349027132449952E-2</v>
      </c>
    </row>
    <row r="6" spans="1:36" s="25" customFormat="1" x14ac:dyDescent="0.2">
      <c r="A6" s="25" t="s">
        <v>120</v>
      </c>
      <c r="B6" s="25">
        <v>6.5</v>
      </c>
      <c r="C6" s="23">
        <v>0.62382172531588731</v>
      </c>
      <c r="D6" s="23">
        <v>0.48220950201477636</v>
      </c>
      <c r="E6" s="26"/>
      <c r="F6" s="25">
        <v>77.707387946443617</v>
      </c>
      <c r="G6" s="25">
        <v>80.140459073892927</v>
      </c>
      <c r="H6" s="25">
        <v>288.38494216046666</v>
      </c>
      <c r="I6" s="25">
        <v>89.410648679639792</v>
      </c>
      <c r="J6" s="25">
        <v>692.96347457629452</v>
      </c>
      <c r="K6" s="25">
        <v>2.4274128225017702</v>
      </c>
      <c r="L6" s="25">
        <v>329.18132083234957</v>
      </c>
      <c r="M6" s="25">
        <v>2.6329979022629924</v>
      </c>
      <c r="N6" s="25">
        <v>223.90289897811198</v>
      </c>
      <c r="O6" s="25">
        <v>-6.7371840417166498</v>
      </c>
      <c r="P6" s="25">
        <v>-73.070350765010602</v>
      </c>
      <c r="Q6" s="24">
        <v>0.10090643823142556</v>
      </c>
      <c r="R6" s="24">
        <v>8.0159320090384803E-2</v>
      </c>
      <c r="S6" s="24">
        <v>0.71294642339212833</v>
      </c>
      <c r="T6" s="24">
        <v>0.13674236956595054</v>
      </c>
      <c r="U6" s="24"/>
      <c r="V6" s="24"/>
      <c r="W6" s="24">
        <v>0.52527930929816857</v>
      </c>
      <c r="X6" s="24">
        <v>0.41682846447000094</v>
      </c>
      <c r="Y6" s="24">
        <v>5.6583049475565734E-3</v>
      </c>
      <c r="Z6" s="24">
        <v>6.0355252773936788E-2</v>
      </c>
      <c r="AA6" s="24">
        <v>3.0177626386968394E-2</v>
      </c>
      <c r="AB6" s="24">
        <v>2.8942229806751874</v>
      </c>
      <c r="AC6" s="24"/>
      <c r="AD6" s="24"/>
      <c r="AE6" s="24"/>
      <c r="AF6" s="24">
        <v>30.950928063134459</v>
      </c>
      <c r="AG6" s="24">
        <v>1.523027081717311</v>
      </c>
      <c r="AH6" s="24">
        <v>2.3576270614819057E-2</v>
      </c>
      <c r="AI6" s="24">
        <v>0.10090643823142556</v>
      </c>
      <c r="AJ6" s="24">
        <v>3.1120677211561157E-2</v>
      </c>
    </row>
    <row r="7" spans="1:36" s="25" customFormat="1" x14ac:dyDescent="0.2">
      <c r="A7" s="25" t="s">
        <v>121</v>
      </c>
      <c r="B7" s="25">
        <v>7.5</v>
      </c>
      <c r="C7" s="23">
        <v>0.57291426780409449</v>
      </c>
      <c r="D7" s="23">
        <v>0.53168608646390481</v>
      </c>
      <c r="E7" s="26"/>
      <c r="F7" s="25">
        <v>68.006614013554639</v>
      </c>
      <c r="G7" s="25">
        <v>75.24592881156947</v>
      </c>
      <c r="H7" s="25">
        <v>300.23217621004329</v>
      </c>
      <c r="I7" s="25">
        <v>85.660112599391667</v>
      </c>
      <c r="J7" s="25">
        <v>583.86390355321168</v>
      </c>
      <c r="K7" s="25">
        <v>2.1035424248892687</v>
      </c>
      <c r="L7" s="25">
        <v>357.58457407012122</v>
      </c>
      <c r="M7" s="25">
        <v>1.775319253962325</v>
      </c>
      <c r="N7" s="25">
        <v>248.85144618176005</v>
      </c>
      <c r="O7" s="25">
        <v>-6.7421280459232502</v>
      </c>
      <c r="P7" s="25">
        <v>-72.920094009698303</v>
      </c>
      <c r="Q7" s="24"/>
      <c r="R7" s="24">
        <v>6.7485137947595947E-2</v>
      </c>
      <c r="S7" s="24">
        <v>0.65261195901595614</v>
      </c>
      <c r="T7" s="24">
        <v>0.12346712738139712</v>
      </c>
      <c r="U7" s="24"/>
      <c r="V7" s="24"/>
      <c r="W7" s="24">
        <v>0.75614029564010898</v>
      </c>
      <c r="X7" s="24">
        <v>0.43021775441592408</v>
      </c>
      <c r="Y7" s="24">
        <v>7.6687656758631746E-3</v>
      </c>
      <c r="Z7" s="24">
        <v>9.739332408346231E-2</v>
      </c>
      <c r="AA7" s="24">
        <v>8.3589545866908602E-2</v>
      </c>
      <c r="AB7" s="24">
        <v>2.4156611878968999</v>
      </c>
      <c r="AC7" s="24"/>
      <c r="AD7" s="24">
        <v>2.8374433000693748E-2</v>
      </c>
      <c r="AE7" s="24"/>
      <c r="AF7" s="24">
        <v>25.268582901969161</v>
      </c>
      <c r="AG7" s="24">
        <v>1.386512834196062</v>
      </c>
      <c r="AH7" s="24">
        <v>1.8405037622071619E-2</v>
      </c>
      <c r="AI7" s="24">
        <v>6.2117001974491715E-2</v>
      </c>
      <c r="AJ7" s="24">
        <v>2.0705667324830573E-2</v>
      </c>
    </row>
    <row r="8" spans="1:36" s="25" customFormat="1" x14ac:dyDescent="0.2">
      <c r="A8" s="25" t="s">
        <v>122</v>
      </c>
      <c r="B8" s="25">
        <v>8.5</v>
      </c>
      <c r="C8" s="23">
        <v>0.55604991283212857</v>
      </c>
      <c r="D8" s="23">
        <v>0.63481021670831905</v>
      </c>
      <c r="E8" s="26"/>
      <c r="F8" s="25">
        <v>68.430979901088975</v>
      </c>
      <c r="G8" s="25">
        <v>78.271655419397248</v>
      </c>
      <c r="H8" s="25">
        <v>324.85572928594047</v>
      </c>
      <c r="I8" s="25">
        <v>90.891541891002987</v>
      </c>
      <c r="J8" s="25">
        <v>623.99175929201351</v>
      </c>
      <c r="K8" s="25">
        <v>2.5856587619070819</v>
      </c>
      <c r="L8" s="25">
        <v>382.25139834823489</v>
      </c>
      <c r="M8" s="25">
        <v>1.1570592540258726</v>
      </c>
      <c r="N8" s="25">
        <v>254.69412338051498</v>
      </c>
      <c r="O8" s="25">
        <v>-6.7521630479350598</v>
      </c>
      <c r="P8" s="25">
        <v>-72.821233772475793</v>
      </c>
      <c r="Q8" s="24"/>
      <c r="R8" s="24">
        <v>8.5077886325431812E-2</v>
      </c>
      <c r="S8" s="24">
        <v>0.743722522961483</v>
      </c>
      <c r="T8" s="24">
        <v>0.13612461812069088</v>
      </c>
      <c r="U8" s="24"/>
      <c r="V8" s="24"/>
      <c r="W8" s="24">
        <v>0.25665162374838596</v>
      </c>
      <c r="X8" s="24">
        <v>0.42255350208297798</v>
      </c>
      <c r="Y8" s="24">
        <v>1.4179647720905303E-3</v>
      </c>
      <c r="Z8" s="24">
        <v>0.10634735790678976</v>
      </c>
      <c r="AA8" s="24">
        <v>3.1195224985991664E-2</v>
      </c>
      <c r="AB8" s="24">
        <v>2.0971698979218942</v>
      </c>
      <c r="AC8" s="24"/>
      <c r="AD8" s="24">
        <v>2.6232348283674808E-2</v>
      </c>
      <c r="AE8" s="24"/>
      <c r="AF8" s="24">
        <v>24.516610909445266</v>
      </c>
      <c r="AG8" s="24">
        <v>1.4278905254951637</v>
      </c>
      <c r="AH8" s="24">
        <v>1.5597612492995832E-2</v>
      </c>
      <c r="AI8" s="24">
        <v>6.3808414744073852E-2</v>
      </c>
      <c r="AJ8" s="24">
        <v>1.5597612492995832E-2</v>
      </c>
    </row>
    <row r="9" spans="1:36" s="25" customFormat="1" x14ac:dyDescent="0.2">
      <c r="A9" s="25" t="s">
        <v>123</v>
      </c>
      <c r="B9" s="25">
        <v>9.5</v>
      </c>
      <c r="C9" s="23">
        <v>0.53383670646956993</v>
      </c>
      <c r="D9" s="23">
        <v>0.62152095931068252</v>
      </c>
      <c r="E9" s="26"/>
      <c r="F9" s="25">
        <v>65.62642812882774</v>
      </c>
      <c r="G9" s="25">
        <v>74.459273242548718</v>
      </c>
      <c r="H9" s="25">
        <v>317.94039628215302</v>
      </c>
      <c r="I9" s="25">
        <v>87.838126666186341</v>
      </c>
      <c r="J9" s="25">
        <v>581.35094636271242</v>
      </c>
      <c r="K9" s="25">
        <v>2.4102950068448745</v>
      </c>
      <c r="L9" s="25">
        <v>376.36325746811747</v>
      </c>
      <c r="M9" s="25">
        <v>1.5557295002041458</v>
      </c>
      <c r="N9" s="25">
        <v>256.24777133799273</v>
      </c>
      <c r="O9" s="25">
        <v>-6.7135071788200396</v>
      </c>
      <c r="P9" s="25">
        <v>-73.058491456101194</v>
      </c>
      <c r="Q9" s="24"/>
      <c r="R9" s="24">
        <v>8.7557941254173002E-2</v>
      </c>
      <c r="S9" s="24">
        <v>0.72848207123471931</v>
      </c>
      <c r="T9" s="24">
        <v>0.13378853423637632</v>
      </c>
      <c r="U9" s="24"/>
      <c r="V9" s="24"/>
      <c r="W9" s="24">
        <v>0.4342873886206981</v>
      </c>
      <c r="X9" s="24">
        <v>0.42658228979033086</v>
      </c>
      <c r="Y9" s="24">
        <v>4.903244710233688E-3</v>
      </c>
      <c r="Z9" s="24">
        <v>0.11417555539544158</v>
      </c>
      <c r="AA9" s="24">
        <v>6.3742181233037945E-2</v>
      </c>
      <c r="AB9" s="24">
        <v>2.3997880538943739</v>
      </c>
      <c r="AC9" s="24"/>
      <c r="AD9" s="24">
        <v>3.642410356173597E-2</v>
      </c>
      <c r="AE9" s="24"/>
      <c r="AF9" s="24">
        <v>26.001206234839216</v>
      </c>
      <c r="AG9" s="24">
        <v>1.3652034200350653</v>
      </c>
      <c r="AH9" s="24">
        <v>1.5410197660734449E-2</v>
      </c>
      <c r="AI9" s="24">
        <v>9.5263040084540215E-2</v>
      </c>
      <c r="AJ9" s="24">
        <v>3.9926421211902888E-2</v>
      </c>
    </row>
    <row r="10" spans="1:36" s="25" customFormat="1" x14ac:dyDescent="0.2">
      <c r="A10" s="25" t="s">
        <v>124</v>
      </c>
      <c r="B10" s="25">
        <v>10.5</v>
      </c>
      <c r="C10" s="23">
        <v>0.55459550510741762</v>
      </c>
      <c r="D10" s="23">
        <v>0.62212289898702244</v>
      </c>
      <c r="E10" s="26"/>
      <c r="F10" s="25">
        <v>74.923156031904298</v>
      </c>
      <c r="G10" s="25">
        <v>81.097851445663025</v>
      </c>
      <c r="H10" s="25">
        <v>329.84484047856432</v>
      </c>
      <c r="I10" s="25">
        <v>99.393245264207394</v>
      </c>
      <c r="J10" s="25">
        <v>676.16223344662808</v>
      </c>
      <c r="K10" s="25">
        <v>3.2087306081754741</v>
      </c>
      <c r="L10" s="25">
        <v>366.01782465104691</v>
      </c>
      <c r="N10" s="25">
        <v>283.21797382851446</v>
      </c>
      <c r="O10" s="25">
        <v>-6.8309637513411703</v>
      </c>
      <c r="P10" s="25">
        <v>-74.113130422264902</v>
      </c>
      <c r="Q10" s="24">
        <v>0.17943559322033903</v>
      </c>
      <c r="R10" s="24">
        <v>0.1055503489531406</v>
      </c>
      <c r="S10" s="24">
        <v>0.79338678963110676</v>
      </c>
      <c r="T10" s="24">
        <v>0.14777048853439681</v>
      </c>
      <c r="U10" s="24"/>
      <c r="V10" s="24"/>
      <c r="W10" s="24">
        <v>0.38437918743768701</v>
      </c>
      <c r="X10" s="24">
        <v>0.48025408773678974</v>
      </c>
      <c r="Y10" s="24">
        <v>3.5183449651046868E-3</v>
      </c>
      <c r="Z10" s="24">
        <v>0.11962372881355933</v>
      </c>
      <c r="AA10" s="24">
        <v>3.5183449651046868E-2</v>
      </c>
      <c r="AB10" s="24">
        <v>2.5903814805583254</v>
      </c>
      <c r="AC10" s="24"/>
      <c r="AD10" s="24">
        <v>3.2544690927218352E-2</v>
      </c>
      <c r="AE10" s="24"/>
      <c r="AF10" s="24">
        <v>28.481002492522435</v>
      </c>
      <c r="AG10" s="24">
        <v>1.5260821286141577</v>
      </c>
      <c r="AH10" s="24">
        <v>1.8471311066799601E-2</v>
      </c>
      <c r="AI10" s="24">
        <v>0.10027283150548356</v>
      </c>
      <c r="AJ10" s="24">
        <v>2.2869242273180459E-2</v>
      </c>
    </row>
    <row r="11" spans="1:36" s="25" customFormat="1" x14ac:dyDescent="0.2">
      <c r="A11" s="25" t="s">
        <v>125</v>
      </c>
      <c r="B11" s="25">
        <v>11.5</v>
      </c>
      <c r="C11" s="23">
        <v>0.57734711686794915</v>
      </c>
      <c r="D11" s="23">
        <v>0.66870427089636375</v>
      </c>
      <c r="E11" s="26"/>
      <c r="F11" s="25">
        <v>63.997041248674002</v>
      </c>
      <c r="G11" s="25">
        <v>71.785449431732033</v>
      </c>
      <c r="H11" s="25">
        <v>314.28114077890569</v>
      </c>
      <c r="I11" s="25">
        <v>91.608149113501995</v>
      </c>
      <c r="J11" s="25">
        <v>584.352387994796</v>
      </c>
      <c r="K11" s="25">
        <v>3.5167922412486718</v>
      </c>
      <c r="L11" s="25">
        <v>363.9905702318531</v>
      </c>
      <c r="M11" s="25">
        <v>2.4651855856948006</v>
      </c>
      <c r="N11" s="25">
        <v>253.16014938020896</v>
      </c>
      <c r="O11" s="25">
        <v>-6.7160372337423002</v>
      </c>
      <c r="P11" s="25">
        <v>-74.284818945632296</v>
      </c>
      <c r="Q11" s="24"/>
      <c r="R11" s="24">
        <v>0.13981393544476425</v>
      </c>
      <c r="S11" s="24">
        <v>0.8062889528716467</v>
      </c>
      <c r="T11" s="24">
        <v>0.12952088498257305</v>
      </c>
      <c r="U11" s="24"/>
      <c r="V11" s="24">
        <v>3.774118502803453E-2</v>
      </c>
      <c r="W11" s="24">
        <v>0.41601078951356241</v>
      </c>
      <c r="X11" s="24">
        <v>0.45975625397787517</v>
      </c>
      <c r="Y11" s="24">
        <v>2.5732626155478087E-3</v>
      </c>
      <c r="Z11" s="24">
        <v>0.15182249431732073</v>
      </c>
      <c r="AA11" s="24">
        <v>3.5167922412486723E-2</v>
      </c>
      <c r="AB11" s="24">
        <v>2.8100027761782069</v>
      </c>
      <c r="AC11" s="24"/>
      <c r="AD11" s="24">
        <v>3.5167922412486723E-2</v>
      </c>
      <c r="AE11" s="24"/>
      <c r="AF11" s="24">
        <v>29.086445097742065</v>
      </c>
      <c r="AG11" s="24">
        <v>1.3380965600848604</v>
      </c>
      <c r="AH11" s="24">
        <v>1.5439575693286852E-2</v>
      </c>
      <c r="AI11" s="24">
        <v>0.15182249431732073</v>
      </c>
      <c r="AJ11" s="24">
        <v>3.8598939233217125E-2</v>
      </c>
    </row>
    <row r="12" spans="1:36" s="25" customFormat="1" x14ac:dyDescent="0.2">
      <c r="A12" s="25" t="s">
        <v>126</v>
      </c>
      <c r="B12" s="25">
        <v>12.5</v>
      </c>
      <c r="C12" s="23">
        <v>0.62438830371408205</v>
      </c>
      <c r="D12" s="23">
        <v>0.57875474118716763</v>
      </c>
      <c r="E12" s="26"/>
      <c r="F12" s="25">
        <v>67.508727972706495</v>
      </c>
      <c r="G12" s="25">
        <v>72.982170020970912</v>
      </c>
      <c r="H12" s="25">
        <v>301.12759397790222</v>
      </c>
      <c r="I12" s="25">
        <v>90.576637766440243</v>
      </c>
      <c r="J12" s="25">
        <v>599.54892608902776</v>
      </c>
      <c r="K12" s="25">
        <v>2.9980337412751568</v>
      </c>
      <c r="L12" s="25">
        <v>338.02300744937236</v>
      </c>
      <c r="M12" s="25">
        <v>1.8795093743153148</v>
      </c>
      <c r="N12" s="25">
        <v>260.77596669692321</v>
      </c>
      <c r="O12" s="25">
        <v>-6.7186949772877398</v>
      </c>
      <c r="P12" s="25">
        <v>-73.940402421732202</v>
      </c>
      <c r="Q12" s="24">
        <v>0.5729457886005821</v>
      </c>
      <c r="R12" s="24">
        <v>0.10593758803092428</v>
      </c>
      <c r="S12" s="24">
        <v>0.75745375442110852</v>
      </c>
      <c r="T12" s="24">
        <v>0.13595323797301948</v>
      </c>
      <c r="U12" s="24"/>
      <c r="V12" s="24"/>
      <c r="W12" s="24">
        <v>0.89782105856208316</v>
      </c>
      <c r="X12" s="24">
        <v>0.4122737800870136</v>
      </c>
      <c r="Y12" s="24">
        <v>7.945319102319319E-3</v>
      </c>
      <c r="Z12" s="24">
        <v>9.092976305987667E-2</v>
      </c>
      <c r="AA12" s="24">
        <v>3.4429716110050385E-2</v>
      </c>
      <c r="AB12" s="24">
        <v>2.4506895364487149</v>
      </c>
      <c r="AC12" s="24"/>
      <c r="AD12" s="24"/>
      <c r="AE12" s="24"/>
      <c r="AF12" s="24">
        <v>29.176977370183728</v>
      </c>
      <c r="AG12" s="24">
        <v>1.3833683370371528</v>
      </c>
      <c r="AH12" s="24">
        <v>2.6484397007731069E-2</v>
      </c>
      <c r="AI12" s="24">
        <v>0.10858602773169737</v>
      </c>
      <c r="AJ12" s="24">
        <v>2.9132836708504174E-2</v>
      </c>
    </row>
    <row r="13" spans="1:36" s="25" customFormat="1" x14ac:dyDescent="0.2">
      <c r="A13" s="25" t="s">
        <v>127</v>
      </c>
      <c r="B13" s="25">
        <v>13.5</v>
      </c>
      <c r="C13" s="23">
        <v>0.66040170036071366</v>
      </c>
      <c r="D13" s="23">
        <v>0.52924455826403549</v>
      </c>
      <c r="E13" s="26"/>
      <c r="F13" s="25">
        <v>59.594198517853108</v>
      </c>
      <c r="G13" s="25">
        <v>65.920018863687375</v>
      </c>
      <c r="H13" s="25">
        <v>278.04746463058603</v>
      </c>
      <c r="I13" s="25">
        <v>82.259717044688941</v>
      </c>
      <c r="J13" s="25">
        <v>516.13579944130583</v>
      </c>
      <c r="K13" s="25">
        <v>2.8590463058612157</v>
      </c>
      <c r="L13" s="25">
        <v>318.5752076802155</v>
      </c>
      <c r="M13" s="25">
        <v>1.5706314394790022</v>
      </c>
      <c r="N13" s="25">
        <v>247.46384702447779</v>
      </c>
      <c r="O13" s="25">
        <v>-6.7261125004171403</v>
      </c>
      <c r="P13" s="25">
        <v>-73.059599790352706</v>
      </c>
      <c r="Q13" s="24">
        <v>0.6381942959802378</v>
      </c>
      <c r="R13" s="24">
        <v>0.11224522793622273</v>
      </c>
      <c r="S13" s="24">
        <v>0.66144509319559819</v>
      </c>
      <c r="T13" s="24">
        <v>0.12346975072984501</v>
      </c>
      <c r="U13" s="24"/>
      <c r="V13" s="24"/>
      <c r="W13" s="24">
        <v>0.85546898719964037</v>
      </c>
      <c r="X13" s="24">
        <v>0.39446180103301132</v>
      </c>
      <c r="Y13" s="24">
        <v>3.2070065124635066E-3</v>
      </c>
      <c r="Z13" s="24">
        <v>7.7769907927240034E-2</v>
      </c>
      <c r="AA13" s="24">
        <v>3.7682326521446201E-2</v>
      </c>
      <c r="AB13" s="24">
        <v>2.3074411857174928</v>
      </c>
      <c r="AC13" s="24"/>
      <c r="AD13" s="24"/>
      <c r="AE13" s="24"/>
      <c r="AF13" s="24">
        <v>25.976752750954404</v>
      </c>
      <c r="AG13" s="24">
        <v>1.2379045138109135</v>
      </c>
      <c r="AH13" s="24">
        <v>2.7259555355939803E-2</v>
      </c>
      <c r="AI13" s="24">
        <v>0.14672054794520542</v>
      </c>
      <c r="AJ13" s="24">
        <v>2.2449045587244545E-2</v>
      </c>
    </row>
    <row r="14" spans="1:36" s="25" customFormat="1" x14ac:dyDescent="0.2">
      <c r="A14" s="25" t="s">
        <v>128</v>
      </c>
      <c r="B14" s="25">
        <v>14.5</v>
      </c>
      <c r="C14" s="23">
        <v>0.55265559493237071</v>
      </c>
      <c r="D14" s="23">
        <v>0.60180285373806996</v>
      </c>
      <c r="E14" s="26"/>
      <c r="F14" s="25">
        <v>59.412953983785279</v>
      </c>
      <c r="G14" s="25">
        <v>67.706478221973711</v>
      </c>
      <c r="H14" s="25">
        <v>308.09084260553533</v>
      </c>
      <c r="I14" s="25">
        <v>86.530700866648004</v>
      </c>
      <c r="J14" s="25">
        <v>578.95444360578472</v>
      </c>
      <c r="K14" s="25">
        <v>3.2415055717081347</v>
      </c>
      <c r="L14" s="25">
        <v>349.18213914173879</v>
      </c>
      <c r="M14" s="25">
        <v>2.4265349818283473</v>
      </c>
      <c r="N14" s="25">
        <v>231.19197552418223</v>
      </c>
      <c r="O14" s="25">
        <v>-6.71144333905431</v>
      </c>
      <c r="P14" s="25">
        <v>-71.414414645951794</v>
      </c>
      <c r="Q14" s="24">
        <v>0.39709841487279834</v>
      </c>
      <c r="R14" s="24">
        <v>0.18936081353089176</v>
      </c>
      <c r="S14" s="24">
        <v>0.74785536483086368</v>
      </c>
      <c r="T14" s="24">
        <v>0.12544155157953588</v>
      </c>
      <c r="U14" s="24"/>
      <c r="V14" s="24"/>
      <c r="W14" s="24">
        <v>0.75504628180039124</v>
      </c>
      <c r="X14" s="24">
        <v>0.41707318423259709</v>
      </c>
      <c r="Y14" s="24">
        <v>5.592935420743639E-3</v>
      </c>
      <c r="Z14" s="24">
        <v>0.16379310875034941</v>
      </c>
      <c r="AA14" s="24">
        <v>3.4356603298853781E-2</v>
      </c>
      <c r="AB14" s="24">
        <v>3.1168630109029909</v>
      </c>
      <c r="AC14" s="24"/>
      <c r="AD14" s="24">
        <v>2.7165686329326245E-2</v>
      </c>
      <c r="AE14" s="24"/>
      <c r="AF14" s="24">
        <v>31.392347525859652</v>
      </c>
      <c r="AG14" s="24">
        <v>1.2648023958624544</v>
      </c>
      <c r="AH14" s="24">
        <v>3.5155594073245734E-2</v>
      </c>
      <c r="AI14" s="24">
        <v>0.18536585965893201</v>
      </c>
      <c r="AJ14" s="24">
        <v>2.47687140061504E-2</v>
      </c>
    </row>
    <row r="15" spans="1:36" s="25" customFormat="1" x14ac:dyDescent="0.2">
      <c r="A15" s="25" t="s">
        <v>129</v>
      </c>
      <c r="B15" s="25">
        <v>15.5</v>
      </c>
      <c r="C15" s="23">
        <v>0.59569966678329189</v>
      </c>
      <c r="D15" s="23">
        <v>0.61810332310825311</v>
      </c>
      <c r="E15" s="26"/>
      <c r="F15" s="25">
        <v>62.11378314115511</v>
      </c>
      <c r="G15" s="25">
        <v>70.166391455526295</v>
      </c>
      <c r="H15" s="25">
        <v>309.1639610871066</v>
      </c>
      <c r="I15" s="25">
        <v>88.364251016286133</v>
      </c>
      <c r="J15" s="25">
        <v>557.26752935098943</v>
      </c>
      <c r="K15" s="25">
        <v>3.2580158157134451</v>
      </c>
      <c r="L15" s="25">
        <v>353.32907924986574</v>
      </c>
      <c r="M15" s="25">
        <v>1.54988677933168</v>
      </c>
      <c r="N15" s="25">
        <v>263.33508087592355</v>
      </c>
      <c r="O15" s="25">
        <v>-6.65212411370669</v>
      </c>
      <c r="P15" s="25">
        <v>-71.446942998270003</v>
      </c>
      <c r="Q15" s="24">
        <v>0.18116520082836907</v>
      </c>
      <c r="R15" s="24">
        <v>0.15972115664868458</v>
      </c>
      <c r="S15" s="24">
        <v>0.77198559046864212</v>
      </c>
      <c r="T15" s="24">
        <v>0.13457986347250275</v>
      </c>
      <c r="U15" s="24"/>
      <c r="V15" s="24"/>
      <c r="W15" s="24">
        <v>0.45993777516426759</v>
      </c>
      <c r="X15" s="24">
        <v>0.39264784342801623</v>
      </c>
      <c r="Y15" s="24">
        <v>4.4366987957967933E-3</v>
      </c>
      <c r="Z15" s="24">
        <v>0.1264459156802086</v>
      </c>
      <c r="AA15" s="24">
        <v>3.1056891570577554E-2</v>
      </c>
      <c r="AB15" s="24">
        <v>2.6642376268759747</v>
      </c>
      <c r="AC15" s="24"/>
      <c r="AD15" s="24"/>
      <c r="AE15" s="24"/>
      <c r="AF15" s="24">
        <v>26.139550405236108</v>
      </c>
      <c r="AG15" s="24">
        <v>1.3265729399432413</v>
      </c>
      <c r="AH15" s="24">
        <v>2.3662393577582898E-2</v>
      </c>
      <c r="AI15" s="24">
        <v>0.15232665865568992</v>
      </c>
      <c r="AJ15" s="24">
        <v>2.0704594380385036E-2</v>
      </c>
    </row>
    <row r="16" spans="1:36" s="25" customFormat="1" x14ac:dyDescent="0.2">
      <c r="A16" s="25" t="s">
        <v>130</v>
      </c>
      <c r="B16" s="25">
        <v>16.5</v>
      </c>
      <c r="C16" s="23">
        <v>0.56479006071142068</v>
      </c>
      <c r="D16" s="23">
        <v>0.69215296520244074</v>
      </c>
      <c r="E16" s="26"/>
      <c r="F16" s="25">
        <v>63.077520888983884</v>
      </c>
      <c r="G16" s="25">
        <v>70.465325301848509</v>
      </c>
      <c r="H16" s="25">
        <v>322.78311251202058</v>
      </c>
      <c r="I16" s="25">
        <v>92.751997008227391</v>
      </c>
      <c r="J16" s="25">
        <v>571.91744621572229</v>
      </c>
      <c r="K16" s="25">
        <v>4.1152920931723482</v>
      </c>
      <c r="L16" s="25">
        <v>371.73290189657024</v>
      </c>
      <c r="M16" s="25">
        <v>1.4952792873170213</v>
      </c>
      <c r="N16" s="25">
        <v>264.20606642803722</v>
      </c>
      <c r="O16" s="25">
        <v>-6.8653667343698404</v>
      </c>
      <c r="P16" s="25">
        <v>-71.881425914990203</v>
      </c>
      <c r="Q16" s="24"/>
      <c r="R16" s="24">
        <v>0.1725618548990277</v>
      </c>
      <c r="S16" s="24">
        <v>0.82275027246500709</v>
      </c>
      <c r="T16" s="24">
        <v>0.134043583716209</v>
      </c>
      <c r="U16" s="24"/>
      <c r="V16" s="24"/>
      <c r="W16" s="24">
        <v>0.18642843252484242</v>
      </c>
      <c r="X16" s="24">
        <v>0.42370098301100551</v>
      </c>
      <c r="Y16" s="24">
        <v>1.5407308473127474E-3</v>
      </c>
      <c r="Z16" s="24">
        <v>0.22032451116572288</v>
      </c>
      <c r="AA16" s="24">
        <v>3.1584982369911321E-2</v>
      </c>
      <c r="AB16" s="24">
        <v>2.6438941339886743</v>
      </c>
      <c r="AC16" s="24"/>
      <c r="AD16" s="24">
        <v>4.3140463724756925E-2</v>
      </c>
      <c r="AE16" s="24"/>
      <c r="AF16" s="24">
        <v>25.244874933219368</v>
      </c>
      <c r="AG16" s="24">
        <v>1.3512209530932795</v>
      </c>
      <c r="AH16" s="24">
        <v>4.6221925419382415E-3</v>
      </c>
      <c r="AI16" s="24">
        <v>0.16177673896783848</v>
      </c>
      <c r="AJ16" s="24">
        <v>3.0044251522598573E-2</v>
      </c>
    </row>
    <row r="17" spans="1:36" s="25" customFormat="1" x14ac:dyDescent="0.2">
      <c r="A17" s="25" t="s">
        <v>131</v>
      </c>
      <c r="B17" s="25">
        <v>17.5</v>
      </c>
      <c r="C17" s="23">
        <v>0.56427973762698214</v>
      </c>
      <c r="D17" s="23">
        <v>0.69294912833763123</v>
      </c>
      <c r="E17" s="26"/>
      <c r="F17" s="25">
        <v>60.216844622342357</v>
      </c>
      <c r="G17" s="25">
        <v>65.990343608670784</v>
      </c>
      <c r="H17" s="25">
        <v>317.39248323543165</v>
      </c>
      <c r="I17" s="25">
        <v>88.701938971773131</v>
      </c>
      <c r="J17" s="25">
        <v>549.04636475483414</v>
      </c>
      <c r="K17" s="25">
        <v>4.0571951967562505</v>
      </c>
      <c r="L17" s="25">
        <v>367.71565004938395</v>
      </c>
      <c r="M17" s="25">
        <v>1.3668946301398344</v>
      </c>
      <c r="N17" s="25">
        <v>246.87106763008782</v>
      </c>
      <c r="O17" s="25">
        <v>-6.9302754395667003</v>
      </c>
      <c r="P17" s="25">
        <v>-74.662257739026003</v>
      </c>
      <c r="Q17" s="24">
        <v>0.1844520455372459</v>
      </c>
      <c r="R17" s="24">
        <v>0.21669366325310596</v>
      </c>
      <c r="S17" s="24">
        <v>0.77604824037011988</v>
      </c>
      <c r="T17" s="24">
        <v>0.13121588605291884</v>
      </c>
      <c r="U17" s="24"/>
      <c r="V17" s="24"/>
      <c r="W17" s="24">
        <v>0.42139044549565935</v>
      </c>
      <c r="X17" s="24">
        <v>0.40264531891667094</v>
      </c>
      <c r="Y17" s="24">
        <v>2.2494151894786084E-3</v>
      </c>
      <c r="Z17" s="24">
        <v>0.24293684046368971</v>
      </c>
      <c r="AA17" s="24">
        <v>4.3488693663253093E-2</v>
      </c>
      <c r="AB17" s="24">
        <v>2.8710035868378641</v>
      </c>
      <c r="AC17" s="24"/>
      <c r="AD17" s="24">
        <v>3.5990643031657735E-2</v>
      </c>
      <c r="AE17" s="24">
        <v>4.7237718979050783E-2</v>
      </c>
      <c r="AF17" s="24">
        <v>26.962990071216922</v>
      </c>
      <c r="AG17" s="24">
        <v>1.2874152934449237</v>
      </c>
      <c r="AH17" s="24">
        <v>1.7995321515828867E-2</v>
      </c>
      <c r="AI17" s="24">
        <v>0.19120029110568171</v>
      </c>
      <c r="AJ17" s="24">
        <v>3.3741227842179124E-2</v>
      </c>
    </row>
    <row r="18" spans="1:36" s="25" customFormat="1" x14ac:dyDescent="0.2">
      <c r="A18" s="25" t="s">
        <v>132</v>
      </c>
      <c r="B18" s="25">
        <v>18.5</v>
      </c>
      <c r="C18" s="23">
        <v>0.55168966624624138</v>
      </c>
      <c r="D18" s="23">
        <v>0.68494241429305391</v>
      </c>
      <c r="E18" s="26"/>
      <c r="F18" s="25">
        <v>61.514073533186945</v>
      </c>
      <c r="G18" s="25">
        <v>65.215330271827511</v>
      </c>
      <c r="H18" s="25">
        <v>316.92519238997136</v>
      </c>
      <c r="I18" s="25">
        <v>91.595935993610809</v>
      </c>
      <c r="J18" s="25">
        <v>564.59430201163559</v>
      </c>
      <c r="K18" s="25">
        <v>4.5692217804272817</v>
      </c>
      <c r="L18" s="25">
        <v>361.40209644313887</v>
      </c>
      <c r="M18" s="25">
        <v>1.4097314127613458</v>
      </c>
      <c r="N18" s="25">
        <v>245.81062830086438</v>
      </c>
      <c r="O18" s="25">
        <v>-7.2040591526292603</v>
      </c>
      <c r="P18" s="25">
        <v>-74.267804624486899</v>
      </c>
      <c r="Q18" s="24">
        <v>0.82566496477366769</v>
      </c>
      <c r="R18" s="24">
        <v>0.22370233035739764</v>
      </c>
      <c r="S18" s="24">
        <v>0.79312644399440979</v>
      </c>
      <c r="T18" s="24">
        <v>0.13584832425340146</v>
      </c>
      <c r="U18" s="24"/>
      <c r="V18" s="24"/>
      <c r="W18" s="24">
        <v>0.97452869733877223</v>
      </c>
      <c r="X18" s="24">
        <v>0.39778341652642707</v>
      </c>
      <c r="Y18" s="24">
        <v>4.8807781168886755E-3</v>
      </c>
      <c r="Z18" s="24">
        <v>0.23590427564961933</v>
      </c>
      <c r="AA18" s="24">
        <v>3.7419298896146515E-2</v>
      </c>
      <c r="AB18" s="24">
        <v>3.1529826635100844</v>
      </c>
      <c r="AC18" s="24"/>
      <c r="AD18" s="24">
        <v>4.4740466071479523E-2</v>
      </c>
      <c r="AE18" s="24"/>
      <c r="AF18" s="24">
        <v>31.928423514646752</v>
      </c>
      <c r="AG18" s="24">
        <v>1.3056081462677207</v>
      </c>
      <c r="AH18" s="24">
        <v>4.7994318149405309E-2</v>
      </c>
      <c r="AI18" s="24">
        <v>0.22532925639636051</v>
      </c>
      <c r="AJ18" s="24">
        <v>3.5792372857183626E-2</v>
      </c>
    </row>
    <row r="19" spans="1:36" s="25" customFormat="1" x14ac:dyDescent="0.2">
      <c r="A19" s="25" t="s">
        <v>133</v>
      </c>
      <c r="B19" s="25">
        <v>19.5</v>
      </c>
      <c r="C19" s="23">
        <v>0.56816897179068027</v>
      </c>
      <c r="D19" s="23">
        <v>0.74121563467431151</v>
      </c>
      <c r="E19" s="26"/>
      <c r="F19" s="25">
        <v>55.704350784590041</v>
      </c>
      <c r="G19" s="25">
        <v>60.966052879218516</v>
      </c>
      <c r="H19" s="25">
        <v>306.01501851011488</v>
      </c>
      <c r="I19" s="25">
        <v>85.02353053571855</v>
      </c>
      <c r="J19" s="25">
        <v>551.92998857640782</v>
      </c>
      <c r="K19" s="25">
        <v>3.8330280159545254</v>
      </c>
      <c r="L19" s="25">
        <v>367.22220369724619</v>
      </c>
      <c r="N19" s="25">
        <v>186.30746282930093</v>
      </c>
      <c r="O19" s="25">
        <v>-6.3280859506112099</v>
      </c>
      <c r="P19" s="25">
        <v>-71.945071049361104</v>
      </c>
      <c r="Q19" s="24">
        <v>0.11917232558694979</v>
      </c>
      <c r="R19" s="24">
        <v>0.24531379302108963</v>
      </c>
      <c r="S19" s="24">
        <v>0.78472537199359915</v>
      </c>
      <c r="T19" s="24">
        <v>0.12962603835773484</v>
      </c>
      <c r="U19" s="24"/>
      <c r="V19" s="24"/>
      <c r="W19" s="24">
        <v>0.35542623420669228</v>
      </c>
      <c r="X19" s="24">
        <v>0.37493983137882447</v>
      </c>
      <c r="Y19" s="24">
        <v>4.8783992930330321E-3</v>
      </c>
      <c r="Z19" s="24">
        <v>0.308732983830519</v>
      </c>
      <c r="AA19" s="24">
        <v>3.8330280159545246E-2</v>
      </c>
      <c r="AB19" s="24">
        <v>3.184897824165851</v>
      </c>
      <c r="AC19" s="24">
        <v>2.2998168095727151E-2</v>
      </c>
      <c r="AD19" s="24">
        <v>4.8087078745611314E-2</v>
      </c>
      <c r="AE19" s="24"/>
      <c r="AF19" s="24">
        <v>29.333118034822899</v>
      </c>
      <c r="AG19" s="24">
        <v>1.227962793474886</v>
      </c>
      <c r="AH19" s="24">
        <v>2.3695082280446155E-2</v>
      </c>
      <c r="AI19" s="24">
        <v>0.21743722563232942</v>
      </c>
      <c r="AJ19" s="24">
        <v>2.8573481573479189E-2</v>
      </c>
    </row>
    <row r="20" spans="1:36" s="25" customFormat="1" x14ac:dyDescent="0.2">
      <c r="A20" s="25" t="s">
        <v>134</v>
      </c>
      <c r="B20" s="25">
        <v>20.5</v>
      </c>
      <c r="C20" s="23">
        <v>0.45855343695898337</v>
      </c>
      <c r="D20" s="23">
        <v>0.72313437491650312</v>
      </c>
      <c r="E20" s="26"/>
      <c r="F20" s="25">
        <v>63.586617110299997</v>
      </c>
      <c r="G20" s="25">
        <v>67.913268049497006</v>
      </c>
      <c r="H20" s="25">
        <v>340.57645330721977</v>
      </c>
      <c r="I20" s="25">
        <v>98.065142882578101</v>
      </c>
      <c r="J20" s="25">
        <v>598.34950944292223</v>
      </c>
      <c r="K20" s="25">
        <v>4.917567079141814</v>
      </c>
      <c r="L20" s="25">
        <v>398.63859374165401</v>
      </c>
      <c r="M20" s="25">
        <v>1.6557436570818123</v>
      </c>
      <c r="N20" s="25">
        <v>241.78487078251575</v>
      </c>
      <c r="O20" s="25">
        <v>-6.6676635157831798</v>
      </c>
      <c r="P20" s="25">
        <v>-73.644804247716607</v>
      </c>
      <c r="Q20" s="24">
        <v>0.8038816433722068</v>
      </c>
      <c r="R20" s="24">
        <v>0.32576146176444398</v>
      </c>
      <c r="S20" s="24">
        <v>0.86448842695628936</v>
      </c>
      <c r="T20" s="24">
        <v>0.14983343719398198</v>
      </c>
      <c r="U20" s="24"/>
      <c r="V20" s="24">
        <v>1.9360500311581944E-2</v>
      </c>
      <c r="W20" s="24">
        <v>0.90825999287812675</v>
      </c>
      <c r="X20" s="24">
        <v>0.42929805038725172</v>
      </c>
      <c r="Y20" s="24">
        <v>7.5758479480103249E-3</v>
      </c>
      <c r="Z20" s="24">
        <v>0.36364070150449562</v>
      </c>
      <c r="AA20" s="24">
        <v>5.0505652986735504E-2</v>
      </c>
      <c r="AB20" s="24">
        <v>3.4124986201370953</v>
      </c>
      <c r="AC20" s="24">
        <v>3.1986913558265814E-2</v>
      </c>
      <c r="AD20" s="24">
        <v>5.5556218285409055E-2</v>
      </c>
      <c r="AE20" s="24"/>
      <c r="AF20" s="24">
        <v>35.185604914092394</v>
      </c>
      <c r="AG20" s="24">
        <v>1.3830131309534406</v>
      </c>
      <c r="AH20" s="24">
        <v>4.7138609454286468E-2</v>
      </c>
      <c r="AI20" s="24">
        <v>0.29798335262173947</v>
      </c>
      <c r="AJ20" s="24">
        <v>3.7037478856939372E-2</v>
      </c>
    </row>
    <row r="21" spans="1:36" x14ac:dyDescent="0.2"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9E69-E6D4-CC4C-8A80-256D255F91E4}">
  <dimension ref="A1:AL30"/>
  <sheetViews>
    <sheetView tabSelected="1" zoomScale="110" zoomScaleNormal="110" workbookViewId="0">
      <selection activeCell="M1" sqref="M1"/>
    </sheetView>
  </sheetViews>
  <sheetFormatPr baseColWidth="10" defaultColWidth="8.83203125" defaultRowHeight="16" x14ac:dyDescent="0.2"/>
  <cols>
    <col min="1" max="1" width="13" bestFit="1" customWidth="1"/>
    <col min="4" max="4" width="12.6640625" customWidth="1"/>
  </cols>
  <sheetData>
    <row r="1" spans="1:38" s="1" customFormat="1" ht="61" x14ac:dyDescent="0.3">
      <c r="A1" s="1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81</v>
      </c>
      <c r="G1" s="17" t="s">
        <v>5</v>
      </c>
      <c r="H1" s="17" t="s">
        <v>6</v>
      </c>
      <c r="I1" s="17" t="s">
        <v>7</v>
      </c>
      <c r="J1" s="17" t="s">
        <v>8</v>
      </c>
      <c r="K1" s="18" t="s">
        <v>9</v>
      </c>
      <c r="L1" s="18" t="s">
        <v>10</v>
      </c>
      <c r="M1" s="18" t="s">
        <v>11</v>
      </c>
      <c r="N1" s="19" t="s">
        <v>82</v>
      </c>
      <c r="O1" s="18" t="s">
        <v>13</v>
      </c>
      <c r="P1" s="18" t="s">
        <v>14</v>
      </c>
      <c r="Q1" s="20" t="s">
        <v>15</v>
      </c>
      <c r="R1" s="20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2" t="s">
        <v>83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</row>
    <row r="2" spans="1:38" x14ac:dyDescent="0.2">
      <c r="A2" t="s">
        <v>84</v>
      </c>
      <c r="B2">
        <v>0</v>
      </c>
      <c r="E2" s="23">
        <v>8.3260000000000005</v>
      </c>
      <c r="F2" s="23">
        <v>1107.3</v>
      </c>
      <c r="G2">
        <v>47.519999999999996</v>
      </c>
      <c r="H2">
        <v>41.050000000000004</v>
      </c>
      <c r="I2">
        <v>128</v>
      </c>
      <c r="J2">
        <v>13.57</v>
      </c>
      <c r="K2" s="23">
        <v>443.15643528127464</v>
      </c>
      <c r="M2">
        <v>156.042</v>
      </c>
      <c r="Q2" s="23">
        <v>-7.5927450701942218</v>
      </c>
      <c r="R2" s="23">
        <v>-74.594865291141801</v>
      </c>
      <c r="T2">
        <v>3.5999999999999997E-2</v>
      </c>
      <c r="U2">
        <v>0.21999999999999997</v>
      </c>
      <c r="V2">
        <v>0.05</v>
      </c>
      <c r="X2">
        <v>4.1999999999999996E-2</v>
      </c>
      <c r="Y2">
        <v>7.8E-2</v>
      </c>
      <c r="Z2">
        <v>0.14200000000000002</v>
      </c>
      <c r="AA2">
        <v>1.4E-2</v>
      </c>
      <c r="AB2">
        <v>2.8000000000000001E-2</v>
      </c>
      <c r="AD2">
        <v>0.16899999999999998</v>
      </c>
      <c r="AG2">
        <v>1.1000000000000001E-2</v>
      </c>
      <c r="AH2">
        <v>3.19</v>
      </c>
      <c r="AI2">
        <v>0.71699999999999997</v>
      </c>
      <c r="AJ2">
        <v>0.03</v>
      </c>
      <c r="AK2">
        <v>1.2999999999999999E-2</v>
      </c>
      <c r="AL2">
        <v>0.01</v>
      </c>
    </row>
    <row r="3" spans="1:38" x14ac:dyDescent="0.2">
      <c r="A3" t="s">
        <v>85</v>
      </c>
      <c r="B3">
        <v>1</v>
      </c>
      <c r="C3" s="24">
        <v>0.55535829999999997</v>
      </c>
      <c r="D3" s="24">
        <v>0.181963287</v>
      </c>
      <c r="E3" s="23">
        <v>7.8079999999999998</v>
      </c>
      <c r="F3" s="23">
        <v>1923.7</v>
      </c>
      <c r="G3">
        <v>102.30000000000001</v>
      </c>
      <c r="H3">
        <v>102.69999999999999</v>
      </c>
      <c r="I3">
        <v>219.3</v>
      </c>
      <c r="J3">
        <v>26.66</v>
      </c>
      <c r="K3" s="23">
        <v>651.01312331657743</v>
      </c>
      <c r="M3">
        <v>283.334</v>
      </c>
      <c r="N3">
        <v>1.7010000000000001</v>
      </c>
      <c r="P3">
        <v>245.72</v>
      </c>
      <c r="Q3" s="23">
        <v>-7.706542794801349</v>
      </c>
      <c r="R3" s="23">
        <v>-77.750895160871053</v>
      </c>
      <c r="T3">
        <v>0.10200000000000001</v>
      </c>
      <c r="U3">
        <v>0.30099999999999999</v>
      </c>
      <c r="V3">
        <v>0.124</v>
      </c>
      <c r="X3">
        <v>3.7000000000000005E-2</v>
      </c>
      <c r="Y3">
        <v>7.2999999999999995E-2</v>
      </c>
      <c r="Z3">
        <v>0.191</v>
      </c>
      <c r="AA3">
        <v>0.23300000000000001</v>
      </c>
      <c r="AB3">
        <v>2.5000000000000001E-2</v>
      </c>
      <c r="AD3">
        <v>1.0669999999999999</v>
      </c>
      <c r="AH3">
        <v>10.629999999999999</v>
      </c>
      <c r="AI3">
        <v>1.6339999999999999</v>
      </c>
    </row>
    <row r="4" spans="1:38" x14ac:dyDescent="0.2">
      <c r="A4" t="s">
        <v>86</v>
      </c>
      <c r="B4">
        <v>3</v>
      </c>
      <c r="C4" s="24">
        <v>0.76959865599999999</v>
      </c>
      <c r="D4" s="24">
        <v>0.42397536400000002</v>
      </c>
      <c r="E4" s="23">
        <v>7.7830000000000004</v>
      </c>
      <c r="F4" s="23">
        <v>2044.9</v>
      </c>
      <c r="G4">
        <v>109.60000000000001</v>
      </c>
      <c r="H4">
        <v>114.2</v>
      </c>
      <c r="I4">
        <v>224.60000000000002</v>
      </c>
      <c r="J4">
        <v>35.24</v>
      </c>
      <c r="K4" s="23">
        <v>761.22748803747265</v>
      </c>
      <c r="M4">
        <v>278.07600000000002</v>
      </c>
      <c r="N4">
        <v>1.4570000000000001</v>
      </c>
      <c r="P4">
        <v>250.648</v>
      </c>
      <c r="Q4" s="23">
        <v>-7.6766511391806844</v>
      </c>
      <c r="R4" s="23">
        <v>-78.526097410730401</v>
      </c>
      <c r="T4">
        <v>6.6000000000000003E-2</v>
      </c>
      <c r="U4">
        <v>0.32</v>
      </c>
      <c r="V4">
        <v>0.15</v>
      </c>
      <c r="X4">
        <v>1.4E-2</v>
      </c>
      <c r="Y4">
        <v>9.8000000000000004E-2</v>
      </c>
      <c r="Z4">
        <v>0.26600000000000001</v>
      </c>
      <c r="AA4">
        <v>0.18100000000000002</v>
      </c>
      <c r="AB4">
        <v>1.7999999999999999E-2</v>
      </c>
      <c r="AD4">
        <v>0.63500000000000001</v>
      </c>
      <c r="AH4">
        <v>10.72</v>
      </c>
      <c r="AI4">
        <v>1.7799999999999998</v>
      </c>
      <c r="AJ4">
        <v>1.2999999999999999E-2</v>
      </c>
    </row>
    <row r="5" spans="1:38" x14ac:dyDescent="0.2">
      <c r="A5" t="s">
        <v>87</v>
      </c>
      <c r="B5">
        <v>5</v>
      </c>
      <c r="C5" s="24">
        <v>0.69142523899999997</v>
      </c>
      <c r="D5" s="24">
        <v>0.38131939399999998</v>
      </c>
      <c r="E5" s="23">
        <v>7.7720000000000002</v>
      </c>
      <c r="F5" s="23">
        <v>2047.6</v>
      </c>
      <c r="G5">
        <v>101.7</v>
      </c>
      <c r="H5">
        <v>109.3</v>
      </c>
      <c r="I5">
        <v>215.9</v>
      </c>
      <c r="J5">
        <v>36.6</v>
      </c>
      <c r="K5" s="23">
        <v>719.32939393595325</v>
      </c>
      <c r="M5">
        <v>267.14600000000002</v>
      </c>
      <c r="N5">
        <v>1.44</v>
      </c>
      <c r="O5">
        <v>2.46</v>
      </c>
      <c r="P5">
        <v>243.62899999999999</v>
      </c>
      <c r="Q5" s="23">
        <v>-7.7858073196828217</v>
      </c>
      <c r="R5" s="23">
        <v>-78.514232031995306</v>
      </c>
      <c r="T5">
        <v>6.1000000000000006E-2</v>
      </c>
      <c r="U5">
        <v>0.317</v>
      </c>
      <c r="V5">
        <v>0.154</v>
      </c>
      <c r="X5">
        <v>2.7000000000000003E-2</v>
      </c>
      <c r="Y5">
        <v>0.106</v>
      </c>
      <c r="Z5">
        <v>0.22900000000000001</v>
      </c>
      <c r="AA5">
        <v>0.13800000000000001</v>
      </c>
      <c r="AB5">
        <v>1.6999999999999998E-2</v>
      </c>
      <c r="AD5">
        <v>1.393</v>
      </c>
      <c r="AH5">
        <v>10.79</v>
      </c>
      <c r="AI5">
        <v>1.7189999999999999</v>
      </c>
      <c r="AJ5">
        <v>1.1000000000000001E-2</v>
      </c>
    </row>
    <row r="6" spans="1:38" x14ac:dyDescent="0.2">
      <c r="A6" t="s">
        <v>88</v>
      </c>
      <c r="B6">
        <v>7</v>
      </c>
      <c r="C6" s="24">
        <v>0.71254428599999997</v>
      </c>
      <c r="D6" s="24">
        <v>0.39810380099999998</v>
      </c>
      <c r="E6" s="23">
        <v>7.8490000000000002</v>
      </c>
      <c r="F6" s="23">
        <v>1990.9</v>
      </c>
      <c r="G6">
        <v>105.60000000000001</v>
      </c>
      <c r="H6">
        <v>113.69999999999999</v>
      </c>
      <c r="I6">
        <v>210.39999999999998</v>
      </c>
      <c r="J6">
        <v>35.28</v>
      </c>
      <c r="K6" s="23">
        <v>739.62247118928747</v>
      </c>
      <c r="M6">
        <v>267.28199999999998</v>
      </c>
      <c r="N6">
        <v>1.804</v>
      </c>
      <c r="O6">
        <v>2.2930000000000001</v>
      </c>
      <c r="P6">
        <v>241.096</v>
      </c>
      <c r="Q6" s="23">
        <v>-7.8203702300355715</v>
      </c>
      <c r="R6" s="23">
        <v>-78.478366525691001</v>
      </c>
      <c r="T6">
        <v>4.1999999999999996E-2</v>
      </c>
      <c r="U6">
        <v>0.27400000000000002</v>
      </c>
      <c r="V6">
        <v>0.14800000000000002</v>
      </c>
      <c r="X6">
        <v>0.02</v>
      </c>
      <c r="Y6">
        <v>7.6999999999999999E-2</v>
      </c>
      <c r="Z6">
        <v>0.184</v>
      </c>
      <c r="AA6">
        <v>0.14899999999999999</v>
      </c>
      <c r="AB6">
        <v>1.6E-2</v>
      </c>
      <c r="AH6">
        <v>10.220000000000001</v>
      </c>
      <c r="AI6">
        <v>1.724</v>
      </c>
    </row>
    <row r="7" spans="1:38" x14ac:dyDescent="0.2">
      <c r="A7" t="s">
        <v>89</v>
      </c>
      <c r="B7">
        <v>9</v>
      </c>
      <c r="C7" s="24">
        <v>0.711296343</v>
      </c>
      <c r="D7" s="24">
        <v>0.44225370899999999</v>
      </c>
      <c r="E7" s="23">
        <v>7.7329999999999997</v>
      </c>
      <c r="F7" s="23">
        <v>1967.5</v>
      </c>
      <c r="G7">
        <v>98.59</v>
      </c>
      <c r="H7">
        <v>107.69999999999999</v>
      </c>
      <c r="I7">
        <v>207</v>
      </c>
      <c r="J7">
        <v>36.480000000000004</v>
      </c>
      <c r="K7" s="23">
        <v>676.55451905734503</v>
      </c>
      <c r="M7">
        <v>272.42599999999999</v>
      </c>
      <c r="N7">
        <v>1.532</v>
      </c>
      <c r="O7">
        <v>16.620999999999999</v>
      </c>
      <c r="P7">
        <v>237.62700000000001</v>
      </c>
      <c r="Q7" s="23">
        <v>-7.891360937034718</v>
      </c>
      <c r="R7" s="23">
        <v>-78.35575075313406</v>
      </c>
      <c r="T7">
        <v>4.1999999999999996E-2</v>
      </c>
      <c r="U7">
        <v>0.29299999999999998</v>
      </c>
      <c r="V7">
        <v>0.155</v>
      </c>
      <c r="X7">
        <v>4.9000000000000002E-2</v>
      </c>
      <c r="Y7">
        <v>4.5999999999999999E-2</v>
      </c>
      <c r="Z7">
        <v>0.23900000000000002</v>
      </c>
      <c r="AA7">
        <v>0.114</v>
      </c>
      <c r="AB7">
        <v>1.4E-2</v>
      </c>
      <c r="AD7">
        <v>1.544</v>
      </c>
      <c r="AG7">
        <v>1.1000000000000001E-2</v>
      </c>
      <c r="AH7">
        <v>10.74</v>
      </c>
      <c r="AI7">
        <v>1.6559999999999999</v>
      </c>
      <c r="AJ7">
        <v>1.1999999999999999E-2</v>
      </c>
    </row>
    <row r="8" spans="1:38" x14ac:dyDescent="0.2">
      <c r="A8" t="s">
        <v>90</v>
      </c>
      <c r="B8">
        <v>11</v>
      </c>
      <c r="C8" s="24">
        <v>0.81397752199999995</v>
      </c>
      <c r="D8" s="24">
        <v>0.51003098700000005</v>
      </c>
      <c r="E8" s="23">
        <v>7.827</v>
      </c>
      <c r="F8" s="23">
        <v>1977.1</v>
      </c>
      <c r="G8">
        <v>102.10000000000001</v>
      </c>
      <c r="H8">
        <v>113.3</v>
      </c>
      <c r="I8">
        <v>207</v>
      </c>
      <c r="J8">
        <v>34.58</v>
      </c>
      <c r="K8" s="23">
        <v>708.89878204685954</v>
      </c>
      <c r="M8">
        <v>274.87400000000002</v>
      </c>
      <c r="N8">
        <v>1.603</v>
      </c>
      <c r="O8">
        <v>5.1050000000000004</v>
      </c>
      <c r="P8">
        <v>237.06200000000001</v>
      </c>
      <c r="Q8" s="23">
        <v>-8.19649811348744</v>
      </c>
      <c r="R8" s="23">
        <v>-77.779867411517316</v>
      </c>
      <c r="T8">
        <v>4.4000000000000004E-2</v>
      </c>
      <c r="U8">
        <v>0.28899999999999998</v>
      </c>
      <c r="V8">
        <v>0.152</v>
      </c>
      <c r="X8">
        <v>1.1000000000000001E-2</v>
      </c>
      <c r="Y8">
        <v>5.4000000000000006E-2</v>
      </c>
      <c r="Z8">
        <v>0.16899999999999998</v>
      </c>
      <c r="AA8">
        <v>0.11299999999999999</v>
      </c>
      <c r="AB8">
        <v>1.2999999999999999E-2</v>
      </c>
      <c r="AD8">
        <v>2.0499999999999998</v>
      </c>
      <c r="AH8">
        <v>9.9409999999999989</v>
      </c>
      <c r="AI8">
        <v>1.6919999999999999</v>
      </c>
    </row>
    <row r="9" spans="1:38" x14ac:dyDescent="0.2">
      <c r="A9" t="s">
        <v>91</v>
      </c>
      <c r="B9">
        <v>13</v>
      </c>
      <c r="C9" s="24">
        <v>0.70001870899999996</v>
      </c>
      <c r="D9" s="24">
        <v>0.43484405399999998</v>
      </c>
      <c r="E9" s="23">
        <v>7.88</v>
      </c>
      <c r="F9" s="23">
        <v>1951.5</v>
      </c>
      <c r="G9">
        <v>95.78</v>
      </c>
      <c r="H9">
        <v>107.8</v>
      </c>
      <c r="I9">
        <v>205.2</v>
      </c>
      <c r="J9">
        <v>34.900000000000006</v>
      </c>
      <c r="K9" s="23">
        <v>668.5331475823923</v>
      </c>
      <c r="M9">
        <v>277.98099999999999</v>
      </c>
      <c r="N9">
        <v>1.4670000000000001</v>
      </c>
      <c r="O9">
        <v>2.5219999999999998</v>
      </c>
      <c r="P9">
        <v>224.374</v>
      </c>
      <c r="Q9" s="23">
        <v>-8.0996705870455372</v>
      </c>
      <c r="R9" s="23">
        <v>-78.548120286948034</v>
      </c>
      <c r="T9">
        <v>9.2999999999999999E-2</v>
      </c>
      <c r="U9">
        <v>0.26600000000000001</v>
      </c>
      <c r="V9">
        <v>0.161</v>
      </c>
      <c r="X9">
        <v>2.8000000000000001E-2</v>
      </c>
      <c r="Y9">
        <v>3.3000000000000002E-2</v>
      </c>
      <c r="Z9">
        <v>0.19</v>
      </c>
      <c r="AA9">
        <v>8.3999999999999991E-2</v>
      </c>
      <c r="AB9">
        <v>0.02</v>
      </c>
      <c r="AD9">
        <v>1.6919999999999999</v>
      </c>
      <c r="AH9">
        <v>8.2859999999999996</v>
      </c>
      <c r="AI9">
        <v>1.6020000000000001</v>
      </c>
      <c r="AK9">
        <v>3.9E-2</v>
      </c>
    </row>
    <row r="10" spans="1:38" x14ac:dyDescent="0.2">
      <c r="A10" t="s">
        <v>92</v>
      </c>
      <c r="B10">
        <v>15</v>
      </c>
      <c r="C10" s="24">
        <v>0.71253440999999995</v>
      </c>
      <c r="D10" s="24">
        <v>0.50391914599999998</v>
      </c>
      <c r="E10" s="23">
        <v>8.0419999999999998</v>
      </c>
      <c r="F10" s="23">
        <v>1923.3</v>
      </c>
      <c r="G10">
        <v>87.15</v>
      </c>
      <c r="H10">
        <v>104.5</v>
      </c>
      <c r="I10">
        <v>199</v>
      </c>
      <c r="J10">
        <v>39.07</v>
      </c>
      <c r="K10" s="23">
        <v>580.12808418227678</v>
      </c>
      <c r="M10">
        <v>272.44200000000001</v>
      </c>
      <c r="N10">
        <v>1.3360000000000001</v>
      </c>
      <c r="P10">
        <v>259.90899999999999</v>
      </c>
      <c r="Q10" s="23">
        <v>-8.0871499735394572</v>
      </c>
      <c r="R10" s="23">
        <v>-78.445660506172686</v>
      </c>
      <c r="T10">
        <v>6.2E-2</v>
      </c>
      <c r="U10">
        <v>0.21999999999999997</v>
      </c>
      <c r="V10">
        <v>0.155</v>
      </c>
      <c r="X10">
        <v>2.8999999999999998E-2</v>
      </c>
      <c r="Y10">
        <v>4.7999999999999994E-2</v>
      </c>
      <c r="Z10">
        <v>0.189</v>
      </c>
      <c r="AA10">
        <v>0.06</v>
      </c>
      <c r="AB10">
        <v>9.1999999999999998E-2</v>
      </c>
      <c r="AD10">
        <v>0.5</v>
      </c>
      <c r="AH10">
        <v>5.2580000000000009</v>
      </c>
      <c r="AI10">
        <v>1.4870000000000001</v>
      </c>
    </row>
    <row r="11" spans="1:38" x14ac:dyDescent="0.2">
      <c r="A11" t="s">
        <v>93</v>
      </c>
      <c r="B11">
        <v>17</v>
      </c>
      <c r="C11" s="24">
        <v>0.79354488400000001</v>
      </c>
      <c r="D11" s="24">
        <v>0.49327497999999997</v>
      </c>
      <c r="E11" s="23">
        <v>7.7720000000000002</v>
      </c>
      <c r="F11" s="23">
        <v>2113.1999999999998</v>
      </c>
      <c r="G11">
        <v>84.13</v>
      </c>
      <c r="H11">
        <v>97.710000000000008</v>
      </c>
      <c r="I11">
        <v>198.1</v>
      </c>
      <c r="J11">
        <v>35.39</v>
      </c>
      <c r="K11" s="23">
        <v>560.56292113944323</v>
      </c>
      <c r="M11">
        <v>276.65499999999997</v>
      </c>
      <c r="N11">
        <v>1.528</v>
      </c>
      <c r="P11">
        <v>229.12700000000001</v>
      </c>
      <c r="Q11" s="23">
        <v>-8.1463810812567363</v>
      </c>
      <c r="R11" s="23">
        <v>-78.052829111821083</v>
      </c>
      <c r="T11">
        <v>0.17100000000000001</v>
      </c>
      <c r="U11">
        <v>0.23699999999999999</v>
      </c>
      <c r="V11">
        <v>0.16400000000000001</v>
      </c>
      <c r="X11">
        <v>0</v>
      </c>
      <c r="Y11">
        <v>2.5999999999999999E-2</v>
      </c>
      <c r="Z11">
        <v>0.17399999999999999</v>
      </c>
      <c r="AA11">
        <v>5.8999999999999997E-2</v>
      </c>
      <c r="AB11">
        <v>7.4999999999999997E-2</v>
      </c>
      <c r="AD11">
        <v>0.76200000000000001</v>
      </c>
      <c r="AH11">
        <v>7.0359999999999996</v>
      </c>
      <c r="AI11">
        <v>1.4549999999999998</v>
      </c>
      <c r="AK11">
        <v>2.5999999999999999E-2</v>
      </c>
    </row>
    <row r="12" spans="1:38" x14ac:dyDescent="0.2">
      <c r="A12" t="s">
        <v>94</v>
      </c>
      <c r="B12">
        <v>19</v>
      </c>
      <c r="C12" s="24">
        <v>0.72770257699999996</v>
      </c>
      <c r="D12" s="24">
        <v>0.55374549699999998</v>
      </c>
      <c r="E12" s="23">
        <v>8.1449999999999996</v>
      </c>
      <c r="F12" s="23">
        <v>1782.1</v>
      </c>
      <c r="G12">
        <v>80.75</v>
      </c>
      <c r="H12">
        <v>100</v>
      </c>
      <c r="I12">
        <v>196</v>
      </c>
      <c r="J12">
        <v>38.340000000000003</v>
      </c>
      <c r="K12" s="23">
        <v>598.84785731796489</v>
      </c>
      <c r="M12">
        <v>275.60500000000002</v>
      </c>
      <c r="N12">
        <v>1.3140000000000001</v>
      </c>
      <c r="P12">
        <v>200.59899999999999</v>
      </c>
      <c r="Q12" s="23">
        <v>-8.0416955476652383</v>
      </c>
      <c r="R12" s="23">
        <v>-78.850124698132305</v>
      </c>
      <c r="T12">
        <v>0.114</v>
      </c>
      <c r="U12">
        <v>0.16400000000000001</v>
      </c>
      <c r="V12">
        <v>0.17199999999999999</v>
      </c>
      <c r="X12">
        <v>4.4000000000000004E-2</v>
      </c>
      <c r="Y12">
        <v>0</v>
      </c>
      <c r="Z12">
        <v>0.19199999999999998</v>
      </c>
      <c r="AA12">
        <v>4.1999999999999996E-2</v>
      </c>
      <c r="AB12">
        <v>0.10999999999999999</v>
      </c>
      <c r="AD12">
        <v>0.94399999999999995</v>
      </c>
      <c r="AH12">
        <v>6.1550000000000002</v>
      </c>
      <c r="AI12">
        <v>1.4319999999999999</v>
      </c>
      <c r="AK12">
        <v>3.9E-2</v>
      </c>
    </row>
    <row r="13" spans="1:38" x14ac:dyDescent="0.2">
      <c r="A13" t="s">
        <v>95</v>
      </c>
      <c r="B13">
        <v>21</v>
      </c>
      <c r="C13" s="24">
        <v>0.68016273500000002</v>
      </c>
      <c r="D13" s="24">
        <v>0.59434231699999995</v>
      </c>
      <c r="E13" s="23">
        <v>8.2170000000000005</v>
      </c>
      <c r="F13" s="23">
        <v>1749.5</v>
      </c>
      <c r="G13">
        <v>57.53</v>
      </c>
      <c r="H13">
        <v>70.63</v>
      </c>
      <c r="I13">
        <v>183.29999999999998</v>
      </c>
      <c r="J13">
        <v>31.9</v>
      </c>
      <c r="K13" s="23">
        <v>343.7167791206117</v>
      </c>
      <c r="L13">
        <v>0.126</v>
      </c>
      <c r="M13">
        <v>283.762</v>
      </c>
      <c r="N13">
        <v>1.2529999999999999</v>
      </c>
      <c r="P13">
        <v>184.2</v>
      </c>
      <c r="Q13" s="23">
        <v>-8.2451468055717143</v>
      </c>
      <c r="R13" s="23">
        <v>-79.024258125661845</v>
      </c>
      <c r="T13">
        <v>0.12200000000000001</v>
      </c>
      <c r="U13">
        <v>0.127</v>
      </c>
      <c r="V13">
        <v>0.13599999999999998</v>
      </c>
      <c r="X13">
        <v>5.7999999999999996E-2</v>
      </c>
      <c r="Y13">
        <v>1.2999999999999999E-2</v>
      </c>
      <c r="Z13">
        <v>0.16199999999999998</v>
      </c>
      <c r="AA13">
        <v>1.1000000000000001E-2</v>
      </c>
      <c r="AB13">
        <v>0.17299999999999999</v>
      </c>
      <c r="AD13">
        <v>1.089</v>
      </c>
      <c r="AF13">
        <v>2.3999999999999997E-2</v>
      </c>
      <c r="AH13">
        <v>5.6389999999999993</v>
      </c>
      <c r="AI13">
        <v>1.0409999999999999</v>
      </c>
      <c r="AK13">
        <v>0.05</v>
      </c>
    </row>
    <row r="14" spans="1:38" x14ac:dyDescent="0.2">
      <c r="A14" t="s">
        <v>96</v>
      </c>
      <c r="B14">
        <v>23</v>
      </c>
      <c r="C14" s="24">
        <v>0.66271036400000005</v>
      </c>
      <c r="D14" s="24">
        <v>0.56661883999999996</v>
      </c>
      <c r="E14" s="23">
        <v>8.3569999999999993</v>
      </c>
      <c r="F14" s="23">
        <v>1655.5</v>
      </c>
      <c r="G14">
        <v>50.39</v>
      </c>
      <c r="H14">
        <v>61.7</v>
      </c>
      <c r="I14">
        <v>175.10000000000002</v>
      </c>
      <c r="J14">
        <v>30.97</v>
      </c>
      <c r="K14" s="23">
        <v>291.951249423295</v>
      </c>
      <c r="L14">
        <v>0.22900000000000001</v>
      </c>
      <c r="M14">
        <v>283.54000000000002</v>
      </c>
      <c r="N14">
        <v>1.2190000000000001</v>
      </c>
      <c r="P14">
        <v>154.56700000000001</v>
      </c>
      <c r="Q14" s="23">
        <v>-8.1520764927956826</v>
      </c>
      <c r="R14" s="23">
        <v>-79.208862692247493</v>
      </c>
      <c r="T14">
        <v>0.11900000000000001</v>
      </c>
      <c r="U14">
        <v>0.10999999999999999</v>
      </c>
      <c r="V14">
        <v>0.124</v>
      </c>
      <c r="X14">
        <v>5.7999999999999996E-2</v>
      </c>
      <c r="Y14">
        <v>0</v>
      </c>
      <c r="Z14">
        <v>0.14699999999999999</v>
      </c>
      <c r="AA14">
        <v>0.01</v>
      </c>
      <c r="AB14">
        <v>0.14699999999999999</v>
      </c>
      <c r="AD14">
        <v>0.67599999999999993</v>
      </c>
      <c r="AH14">
        <v>6.3539999999999992</v>
      </c>
      <c r="AI14">
        <v>0.92399999999999993</v>
      </c>
      <c r="AK14">
        <v>5.1000000000000004E-2</v>
      </c>
    </row>
    <row r="15" spans="1:38" x14ac:dyDescent="0.2">
      <c r="A15" t="s">
        <v>97</v>
      </c>
      <c r="B15">
        <v>25</v>
      </c>
      <c r="C15" s="24">
        <v>0.66013620799999995</v>
      </c>
      <c r="D15" s="24">
        <v>0.58361429600000003</v>
      </c>
      <c r="E15" s="23">
        <v>8.4079999999999995</v>
      </c>
      <c r="F15" s="23">
        <v>1602.1</v>
      </c>
      <c r="G15">
        <v>45.09</v>
      </c>
      <c r="H15">
        <v>54.42</v>
      </c>
      <c r="I15">
        <v>162.89999999999998</v>
      </c>
      <c r="J15">
        <v>32.26</v>
      </c>
      <c r="K15" s="23">
        <v>231.29304963294226</v>
      </c>
      <c r="L15">
        <v>0.39700000000000002</v>
      </c>
      <c r="M15">
        <v>279.06</v>
      </c>
      <c r="N15">
        <v>0</v>
      </c>
      <c r="P15">
        <v>143.00399999999999</v>
      </c>
      <c r="Q15" s="23">
        <v>-8.2930509939670163</v>
      </c>
      <c r="R15" s="23">
        <v>-78.91264163214673</v>
      </c>
      <c r="T15">
        <v>0.11700000000000001</v>
      </c>
      <c r="U15">
        <v>0.14000000000000001</v>
      </c>
      <c r="V15">
        <v>0.121</v>
      </c>
      <c r="X15">
        <v>2.7000000000000003E-2</v>
      </c>
      <c r="Y15">
        <v>0.02</v>
      </c>
      <c r="Z15">
        <v>0.14699999999999999</v>
      </c>
      <c r="AB15">
        <v>0.12200000000000001</v>
      </c>
      <c r="AD15">
        <v>0.71699999999999997</v>
      </c>
      <c r="AH15">
        <v>6.3790000000000004</v>
      </c>
      <c r="AI15">
        <v>0.82500000000000007</v>
      </c>
      <c r="AK15">
        <v>3.2000000000000001E-2</v>
      </c>
    </row>
    <row r="16" spans="1:38" x14ac:dyDescent="0.2">
      <c r="A16" t="s">
        <v>98</v>
      </c>
      <c r="B16">
        <v>27</v>
      </c>
      <c r="C16" s="24">
        <v>0.63231226100000004</v>
      </c>
      <c r="D16" s="24">
        <v>0.60191925599999996</v>
      </c>
      <c r="E16" s="23">
        <v>8.4269999999999996</v>
      </c>
      <c r="F16" s="23">
        <v>1570.7</v>
      </c>
      <c r="G16">
        <v>45.300000000000004</v>
      </c>
      <c r="H16">
        <v>54.489999999999995</v>
      </c>
      <c r="I16">
        <v>165.9</v>
      </c>
      <c r="J16">
        <v>31.99</v>
      </c>
      <c r="K16" s="23">
        <v>248.22191603263923</v>
      </c>
      <c r="L16">
        <v>0.311</v>
      </c>
      <c r="M16">
        <v>281.92500000000001</v>
      </c>
      <c r="N16">
        <v>1.1279999999999999</v>
      </c>
      <c r="P16">
        <v>132.51300000000001</v>
      </c>
      <c r="Q16" s="23">
        <v>-8.217195805131416</v>
      </c>
      <c r="R16" s="23">
        <v>-78.803015484362987</v>
      </c>
      <c r="T16">
        <v>0.10200000000000001</v>
      </c>
      <c r="U16">
        <v>0.111</v>
      </c>
      <c r="V16">
        <v>0.123</v>
      </c>
      <c r="X16">
        <v>3.7999999999999999E-2</v>
      </c>
      <c r="Y16">
        <v>3.5000000000000003E-2</v>
      </c>
      <c r="Z16">
        <v>0.14699999999999999</v>
      </c>
      <c r="AB16">
        <v>0.13599999999999998</v>
      </c>
      <c r="AD16">
        <v>0.70499999999999996</v>
      </c>
      <c r="AH16">
        <v>6.69</v>
      </c>
      <c r="AI16">
        <v>0.82400000000000007</v>
      </c>
      <c r="AK16">
        <v>4.2999999999999997E-2</v>
      </c>
    </row>
    <row r="17" spans="1:37" x14ac:dyDescent="0.2">
      <c r="A17" t="s">
        <v>99</v>
      </c>
      <c r="B17">
        <v>29</v>
      </c>
      <c r="C17" s="24">
        <v>0.69778172400000005</v>
      </c>
      <c r="D17" s="24">
        <v>0.65209420799999995</v>
      </c>
      <c r="E17" s="23">
        <v>8.3379999999999992</v>
      </c>
      <c r="F17" s="23">
        <v>1557.8</v>
      </c>
      <c r="G17">
        <v>43.59</v>
      </c>
      <c r="H17">
        <v>51.660000000000004</v>
      </c>
      <c r="I17">
        <v>163.70000000000002</v>
      </c>
      <c r="J17">
        <v>32.17</v>
      </c>
      <c r="K17" s="23">
        <v>191.73115489899402</v>
      </c>
      <c r="L17">
        <v>0.47499999999999998</v>
      </c>
      <c r="M17">
        <v>307.69099999999997</v>
      </c>
      <c r="N17">
        <v>1.2709999999999999</v>
      </c>
      <c r="P17">
        <v>122.41500000000001</v>
      </c>
      <c r="Q17" s="23">
        <v>-8.1528836088732017</v>
      </c>
      <c r="R17" s="23">
        <v>-79.18606911824665</v>
      </c>
      <c r="T17">
        <v>0.10300000000000001</v>
      </c>
      <c r="U17">
        <v>0.14000000000000001</v>
      </c>
      <c r="V17">
        <v>0.125</v>
      </c>
      <c r="X17">
        <v>2.8000000000000001E-2</v>
      </c>
      <c r="Y17">
        <v>3.9E-2</v>
      </c>
      <c r="Z17">
        <v>0.13100000000000001</v>
      </c>
      <c r="AB17">
        <v>7.8E-2</v>
      </c>
      <c r="AD17">
        <v>0.77799999999999991</v>
      </c>
      <c r="AH17">
        <v>6.6920000000000002</v>
      </c>
      <c r="AI17">
        <v>0.79200000000000004</v>
      </c>
      <c r="AK17">
        <v>3.3999999999999996E-2</v>
      </c>
    </row>
    <row r="18" spans="1:37" x14ac:dyDescent="0.2">
      <c r="A18" t="s">
        <v>100</v>
      </c>
      <c r="B18">
        <v>31</v>
      </c>
      <c r="C18" s="24">
        <v>0.62292749599999997</v>
      </c>
      <c r="D18" s="24">
        <v>0.63613525199999998</v>
      </c>
      <c r="E18" s="23">
        <v>8.3759999999999994</v>
      </c>
      <c r="F18" s="23">
        <v>1532.9</v>
      </c>
      <c r="G18">
        <v>41.849999999999994</v>
      </c>
      <c r="H18">
        <v>48.2</v>
      </c>
      <c r="I18">
        <v>157.5</v>
      </c>
      <c r="J18">
        <v>29.729999999999997</v>
      </c>
      <c r="K18" s="23">
        <v>233.83129481675729</v>
      </c>
      <c r="L18">
        <v>0.29899999999999999</v>
      </c>
      <c r="M18">
        <v>280.74900000000002</v>
      </c>
      <c r="N18">
        <v>1.175</v>
      </c>
      <c r="P18">
        <v>91.978999999999999</v>
      </c>
      <c r="Q18" s="23">
        <v>-8.0849927533363015</v>
      </c>
      <c r="R18" s="23">
        <v>-79.387561693538046</v>
      </c>
      <c r="T18">
        <v>7.1000000000000008E-2</v>
      </c>
      <c r="U18">
        <v>0.14899999999999999</v>
      </c>
      <c r="V18">
        <v>0.123</v>
      </c>
      <c r="X18">
        <v>2.8000000000000001E-2</v>
      </c>
      <c r="Y18">
        <v>1.4999999999999999E-2</v>
      </c>
      <c r="Z18">
        <v>9.7000000000000003E-2</v>
      </c>
      <c r="AB18">
        <v>6.9000000000000006E-2</v>
      </c>
      <c r="AD18">
        <v>0.59099999999999997</v>
      </c>
      <c r="AH18">
        <v>6.859</v>
      </c>
      <c r="AI18">
        <v>0.751</v>
      </c>
      <c r="AJ18">
        <v>1.1000000000000001E-2</v>
      </c>
      <c r="AK18">
        <v>3.5999999999999997E-2</v>
      </c>
    </row>
    <row r="19" spans="1:37" x14ac:dyDescent="0.2">
      <c r="A19" t="s">
        <v>101</v>
      </c>
      <c r="B19">
        <v>33</v>
      </c>
      <c r="C19" s="24">
        <v>0.65085990000000005</v>
      </c>
      <c r="D19" s="24">
        <v>0.63131723200000001</v>
      </c>
      <c r="E19" s="23">
        <v>8.4179999999999993</v>
      </c>
      <c r="F19" s="23">
        <v>1496</v>
      </c>
      <c r="G19">
        <v>43.56</v>
      </c>
      <c r="H19">
        <v>51.050000000000004</v>
      </c>
      <c r="I19">
        <v>159.19999999999999</v>
      </c>
      <c r="J19">
        <v>32.57</v>
      </c>
      <c r="K19" s="23">
        <v>238.54109676835685</v>
      </c>
      <c r="L19">
        <v>0.33400000000000002</v>
      </c>
      <c r="M19">
        <v>272.36200000000002</v>
      </c>
      <c r="N19">
        <v>1.208</v>
      </c>
      <c r="O19">
        <v>2.722</v>
      </c>
      <c r="P19">
        <v>122.03700000000001</v>
      </c>
      <c r="Q19" s="23">
        <v>-8.0016474884493967</v>
      </c>
      <c r="R19" s="23">
        <v>-79.837645457677894</v>
      </c>
      <c r="T19">
        <v>8.6999999999999994E-2</v>
      </c>
      <c r="U19">
        <v>0.111</v>
      </c>
      <c r="V19">
        <v>0.128</v>
      </c>
      <c r="X19">
        <v>0.04</v>
      </c>
      <c r="Y19">
        <v>0</v>
      </c>
      <c r="Z19">
        <v>0.12200000000000001</v>
      </c>
      <c r="AB19">
        <v>7.6999999999999999E-2</v>
      </c>
      <c r="AD19">
        <v>0.66400000000000003</v>
      </c>
      <c r="AF19">
        <v>0.01</v>
      </c>
      <c r="AH19">
        <v>6.6129999999999995</v>
      </c>
      <c r="AI19">
        <v>0.78600000000000003</v>
      </c>
      <c r="AK19">
        <v>5.7999999999999996E-2</v>
      </c>
    </row>
    <row r="20" spans="1:37" x14ac:dyDescent="0.2">
      <c r="A20" t="s">
        <v>102</v>
      </c>
      <c r="B20">
        <v>35</v>
      </c>
      <c r="C20" s="24">
        <v>0.70091669700000003</v>
      </c>
      <c r="D20" s="24">
        <v>0.71566439000000004</v>
      </c>
      <c r="E20" s="23">
        <v>8.3949999999999996</v>
      </c>
      <c r="F20" s="23">
        <v>1474.8</v>
      </c>
      <c r="G20">
        <v>40.69</v>
      </c>
      <c r="H20">
        <v>46.83</v>
      </c>
      <c r="I20">
        <v>154</v>
      </c>
      <c r="J20">
        <v>32.14</v>
      </c>
      <c r="K20" s="23">
        <v>222.16925246608486</v>
      </c>
      <c r="L20">
        <v>0.34</v>
      </c>
      <c r="M20">
        <v>274.077</v>
      </c>
      <c r="N20">
        <v>2.2480000000000002</v>
      </c>
      <c r="P20">
        <v>97.650999999999996</v>
      </c>
      <c r="Q20" s="23">
        <v>-7.942884275595655</v>
      </c>
      <c r="R20" s="23">
        <v>-80.351468921489825</v>
      </c>
      <c r="T20">
        <v>0.1</v>
      </c>
      <c r="U20">
        <v>0.1</v>
      </c>
      <c r="V20">
        <v>0.123</v>
      </c>
      <c r="X20">
        <v>8.3999999999999991E-2</v>
      </c>
      <c r="Y20">
        <v>0</v>
      </c>
      <c r="Z20">
        <v>6.7000000000000004E-2</v>
      </c>
      <c r="AB20">
        <v>5.6000000000000001E-2</v>
      </c>
      <c r="AD20">
        <v>0.61599999999999999</v>
      </c>
      <c r="AH20">
        <v>6.8449999999999998</v>
      </c>
      <c r="AI20">
        <v>0.7340000000000001</v>
      </c>
      <c r="AK20">
        <v>1.9E-2</v>
      </c>
    </row>
    <row r="21" spans="1:37" x14ac:dyDescent="0.2">
      <c r="A21" t="s">
        <v>103</v>
      </c>
      <c r="B21">
        <v>37</v>
      </c>
      <c r="C21" s="24">
        <v>0.605028122</v>
      </c>
      <c r="D21" s="24">
        <v>0.65827258600000005</v>
      </c>
      <c r="E21" s="23">
        <v>8.4120000000000008</v>
      </c>
      <c r="F21" s="23">
        <v>1456.7</v>
      </c>
      <c r="G21">
        <v>42.430000000000007</v>
      </c>
      <c r="H21">
        <v>47.28</v>
      </c>
      <c r="I21">
        <v>154.5</v>
      </c>
      <c r="J21">
        <v>34</v>
      </c>
      <c r="K21" s="23">
        <v>241.11104519366768</v>
      </c>
      <c r="L21">
        <v>0.314</v>
      </c>
      <c r="M21">
        <v>276.846</v>
      </c>
      <c r="N21">
        <v>1.1830000000000001</v>
      </c>
      <c r="P21">
        <v>88.268000000000001</v>
      </c>
      <c r="Q21" s="23">
        <v>-8.2877988342393873</v>
      </c>
      <c r="R21" s="23">
        <v>-80.357469888694951</v>
      </c>
      <c r="T21">
        <v>9.8000000000000004E-2</v>
      </c>
      <c r="U21">
        <v>0.128</v>
      </c>
      <c r="V21">
        <v>0.13100000000000001</v>
      </c>
      <c r="X21">
        <v>2.5000000000000001E-2</v>
      </c>
      <c r="Y21">
        <v>0</v>
      </c>
      <c r="Z21">
        <v>0.124</v>
      </c>
      <c r="AB21">
        <v>7.1000000000000008E-2</v>
      </c>
      <c r="AD21">
        <v>1.1219999999999999</v>
      </c>
      <c r="AH21">
        <v>6.9390000000000001</v>
      </c>
      <c r="AI21">
        <v>0.755</v>
      </c>
      <c r="AJ21">
        <v>1.9E-2</v>
      </c>
      <c r="AK21">
        <v>2.8000000000000001E-2</v>
      </c>
    </row>
    <row r="22" spans="1:37" x14ac:dyDescent="0.2">
      <c r="A22" t="s">
        <v>104</v>
      </c>
      <c r="B22">
        <v>39</v>
      </c>
      <c r="C22" s="24">
        <v>0.61118687699999996</v>
      </c>
      <c r="D22" s="24">
        <v>0.58639940499999998</v>
      </c>
      <c r="E22" s="23">
        <v>8.4179999999999993</v>
      </c>
      <c r="F22" s="23">
        <v>1472.5</v>
      </c>
      <c r="G22">
        <v>41.34</v>
      </c>
      <c r="H22">
        <v>45.15</v>
      </c>
      <c r="I22">
        <v>153.9</v>
      </c>
      <c r="J22">
        <v>32.03</v>
      </c>
      <c r="K22" s="23">
        <v>262.66325782527616</v>
      </c>
      <c r="L22">
        <v>0.27700000000000002</v>
      </c>
      <c r="M22">
        <v>273.50700000000001</v>
      </c>
      <c r="N22">
        <v>1.212</v>
      </c>
      <c r="O22">
        <v>1.68</v>
      </c>
      <c r="P22">
        <v>61.122</v>
      </c>
      <c r="Q22" s="23">
        <v>-8.3395661077751626</v>
      </c>
      <c r="R22" s="23">
        <v>-80.548213848786617</v>
      </c>
      <c r="T22">
        <v>0.08</v>
      </c>
      <c r="U22">
        <v>0.11700000000000001</v>
      </c>
      <c r="V22">
        <v>0.13200000000000001</v>
      </c>
      <c r="X22">
        <v>6.5000000000000002E-2</v>
      </c>
      <c r="Y22">
        <v>3.3000000000000002E-2</v>
      </c>
      <c r="Z22">
        <v>0.126</v>
      </c>
      <c r="AB22">
        <v>5.7000000000000002E-2</v>
      </c>
      <c r="AD22">
        <v>1.736</v>
      </c>
      <c r="AH22">
        <v>7.4589999999999996</v>
      </c>
      <c r="AI22">
        <v>0.73599999999999999</v>
      </c>
      <c r="AK22">
        <v>3.2000000000000001E-2</v>
      </c>
    </row>
    <row r="23" spans="1:37" x14ac:dyDescent="0.2">
      <c r="A23" t="s">
        <v>105</v>
      </c>
      <c r="B23">
        <v>41</v>
      </c>
      <c r="C23" s="24">
        <v>0.58294800700000005</v>
      </c>
      <c r="D23" s="24">
        <v>0.56865294</v>
      </c>
      <c r="E23" s="23">
        <v>8.4009999999999998</v>
      </c>
      <c r="F23" s="23">
        <v>1411.3</v>
      </c>
      <c r="G23">
        <v>40.910000000000004</v>
      </c>
      <c r="H23">
        <v>44.62</v>
      </c>
      <c r="I23">
        <v>149.4</v>
      </c>
      <c r="J23">
        <v>32.589999999999996</v>
      </c>
      <c r="K23" s="23">
        <v>243.36876674481874</v>
      </c>
      <c r="L23">
        <v>0.32200000000000001</v>
      </c>
      <c r="M23">
        <v>273.512</v>
      </c>
      <c r="N23">
        <v>2.294</v>
      </c>
      <c r="P23">
        <v>64.463999999999999</v>
      </c>
      <c r="Q23" s="23">
        <v>-8.2481111724444496</v>
      </c>
      <c r="R23" s="23">
        <v>-80.454353334296201</v>
      </c>
      <c r="T23">
        <v>6.2E-2</v>
      </c>
      <c r="U23">
        <v>0.15699999999999997</v>
      </c>
      <c r="V23">
        <v>0.13200000000000001</v>
      </c>
      <c r="X23">
        <v>0.06</v>
      </c>
      <c r="Y23">
        <v>0</v>
      </c>
      <c r="Z23">
        <v>0.13300000000000001</v>
      </c>
      <c r="AB23">
        <v>6.3E-2</v>
      </c>
      <c r="AD23">
        <v>0.58500000000000008</v>
      </c>
      <c r="AH23">
        <v>7.3760000000000003</v>
      </c>
      <c r="AI23">
        <v>0.73199999999999998</v>
      </c>
      <c r="AJ23">
        <v>1.2999999999999999E-2</v>
      </c>
      <c r="AK23">
        <v>4.1000000000000002E-2</v>
      </c>
    </row>
    <row r="24" spans="1:37" x14ac:dyDescent="0.2">
      <c r="A24" t="s">
        <v>106</v>
      </c>
      <c r="B24">
        <v>43</v>
      </c>
      <c r="C24" s="24">
        <v>0.73344824600000003</v>
      </c>
      <c r="D24" s="24">
        <v>0.67239149200000004</v>
      </c>
      <c r="E24" s="23">
        <v>8.4529999999999994</v>
      </c>
      <c r="F24" s="23">
        <v>1370.9</v>
      </c>
      <c r="G24">
        <v>40.590000000000003</v>
      </c>
      <c r="H24">
        <v>43.56</v>
      </c>
      <c r="I24">
        <v>145.39999999999998</v>
      </c>
      <c r="J24">
        <v>30.84</v>
      </c>
      <c r="K24" s="23">
        <v>244.76102866033085</v>
      </c>
      <c r="L24">
        <v>0.192</v>
      </c>
      <c r="M24">
        <v>272.91399999999999</v>
      </c>
      <c r="N24">
        <v>1.17</v>
      </c>
      <c r="P24">
        <v>48.715000000000003</v>
      </c>
      <c r="Q24" s="23">
        <v>-8.2722894375720024</v>
      </c>
      <c r="R24" s="23">
        <v>-81.462889949897686</v>
      </c>
      <c r="T24">
        <v>6.3E-2</v>
      </c>
      <c r="U24">
        <v>0.11900000000000001</v>
      </c>
      <c r="V24">
        <v>0.13</v>
      </c>
      <c r="X24">
        <v>5.4999999999999993E-2</v>
      </c>
      <c r="Y24">
        <v>0</v>
      </c>
      <c r="Z24">
        <v>0.109</v>
      </c>
      <c r="AB24">
        <v>5.7999999999999996E-2</v>
      </c>
      <c r="AD24">
        <v>0.73499999999999999</v>
      </c>
      <c r="AH24">
        <v>7.9169999999999998</v>
      </c>
      <c r="AI24">
        <v>0.71400000000000008</v>
      </c>
      <c r="AJ24">
        <v>0.01</v>
      </c>
      <c r="AK24">
        <v>3.7999999999999999E-2</v>
      </c>
    </row>
    <row r="25" spans="1:37" x14ac:dyDescent="0.2">
      <c r="A25" t="s">
        <v>107</v>
      </c>
      <c r="B25">
        <v>45</v>
      </c>
      <c r="C25" s="24">
        <v>0.74125124600000003</v>
      </c>
      <c r="D25" s="24">
        <v>0.60832408800000004</v>
      </c>
      <c r="E25" s="23">
        <v>8.4009999999999998</v>
      </c>
      <c r="F25" s="23">
        <v>1413.3</v>
      </c>
      <c r="G25">
        <v>42.400000000000006</v>
      </c>
      <c r="H25">
        <v>45.679999999999993</v>
      </c>
      <c r="I25">
        <v>144.9</v>
      </c>
      <c r="J25">
        <v>31.73</v>
      </c>
      <c r="K25" s="23">
        <v>243.70798820930341</v>
      </c>
      <c r="L25">
        <v>0.32200000000000001</v>
      </c>
      <c r="M25">
        <v>276.69600000000003</v>
      </c>
      <c r="N25">
        <v>1.1950000000000001</v>
      </c>
      <c r="O25">
        <v>1.8120000000000001</v>
      </c>
      <c r="P25">
        <v>57.186</v>
      </c>
      <c r="Q25" s="23">
        <v>-8.2225373261808006</v>
      </c>
      <c r="R25" s="23">
        <v>-80.42470765840244</v>
      </c>
      <c r="T25">
        <v>0.10500000000000001</v>
      </c>
      <c r="U25">
        <v>0.126</v>
      </c>
      <c r="V25">
        <v>0.13200000000000001</v>
      </c>
      <c r="X25">
        <v>6.7999999999999991E-2</v>
      </c>
      <c r="Y25">
        <v>0</v>
      </c>
      <c r="Z25">
        <v>0.12</v>
      </c>
      <c r="AB25">
        <v>5.7000000000000002E-2</v>
      </c>
      <c r="AD25">
        <v>0.57699999999999996</v>
      </c>
      <c r="AH25">
        <v>7.6790000000000003</v>
      </c>
      <c r="AI25">
        <v>0.746</v>
      </c>
      <c r="AK25">
        <v>4.7999999999999994E-2</v>
      </c>
    </row>
    <row r="26" spans="1:37" x14ac:dyDescent="0.2">
      <c r="A26" t="s">
        <v>108</v>
      </c>
      <c r="B26">
        <v>47</v>
      </c>
      <c r="C26" s="24">
        <v>0.67852131000000004</v>
      </c>
      <c r="D26" s="24">
        <v>0.56978179600000001</v>
      </c>
      <c r="E26" s="23">
        <v>8.4</v>
      </c>
      <c r="F26" s="23">
        <v>1388.9</v>
      </c>
      <c r="G26">
        <v>43.37</v>
      </c>
      <c r="H26">
        <v>44.42</v>
      </c>
      <c r="I26">
        <v>142.89999999999998</v>
      </c>
      <c r="J26">
        <v>28.54</v>
      </c>
      <c r="K26" s="23">
        <v>274.0562608181524</v>
      </c>
      <c r="L26">
        <v>0.193</v>
      </c>
      <c r="M26">
        <v>264.721</v>
      </c>
      <c r="N26">
        <v>1.21</v>
      </c>
      <c r="P26">
        <v>38.768000000000001</v>
      </c>
      <c r="Q26" s="23">
        <v>-8.4095705898285029</v>
      </c>
      <c r="R26" s="23">
        <v>-80.787442556069692</v>
      </c>
      <c r="T26">
        <v>8.3000000000000004E-2</v>
      </c>
      <c r="U26">
        <v>0.13</v>
      </c>
      <c r="V26">
        <v>0.13400000000000001</v>
      </c>
      <c r="X26">
        <v>4.1000000000000002E-2</v>
      </c>
      <c r="Y26">
        <v>0</v>
      </c>
      <c r="Z26">
        <v>0.10800000000000001</v>
      </c>
      <c r="AB26">
        <v>5.6000000000000001E-2</v>
      </c>
      <c r="AD26">
        <v>0.61599999999999999</v>
      </c>
      <c r="AH26">
        <v>8.1649999999999991</v>
      </c>
      <c r="AI26">
        <v>0.751</v>
      </c>
      <c r="AJ26">
        <v>1.2999999999999999E-2</v>
      </c>
      <c r="AK26">
        <v>0.03</v>
      </c>
    </row>
    <row r="27" spans="1:37" x14ac:dyDescent="0.2">
      <c r="A27" t="s">
        <v>109</v>
      </c>
      <c r="B27">
        <v>49</v>
      </c>
      <c r="C27" s="24">
        <v>0.72477328500000004</v>
      </c>
      <c r="D27" s="24">
        <v>0.58865914900000005</v>
      </c>
      <c r="E27" s="23">
        <v>8.4239999999999995</v>
      </c>
      <c r="F27" s="23">
        <v>1383.7</v>
      </c>
      <c r="G27">
        <v>39.54</v>
      </c>
      <c r="H27">
        <v>41.78</v>
      </c>
      <c r="I27">
        <v>136.1</v>
      </c>
      <c r="J27">
        <v>31.909999999999997</v>
      </c>
      <c r="K27" s="23">
        <v>236.86684739853388</v>
      </c>
      <c r="L27">
        <v>0.24099999999999999</v>
      </c>
      <c r="M27">
        <v>260.66199999999998</v>
      </c>
      <c r="N27">
        <v>1.288</v>
      </c>
      <c r="P27">
        <v>43.86</v>
      </c>
      <c r="Q27" s="23">
        <v>-8.4949155755172665</v>
      </c>
      <c r="R27" s="23">
        <v>-82.215515618335957</v>
      </c>
      <c r="T27">
        <v>0.104</v>
      </c>
      <c r="U27">
        <v>0.129</v>
      </c>
      <c r="V27">
        <v>0.126</v>
      </c>
      <c r="X27">
        <v>5.8999999999999997E-2</v>
      </c>
      <c r="Y27">
        <v>0</v>
      </c>
      <c r="Z27">
        <v>0.11299999999999999</v>
      </c>
      <c r="AB27">
        <v>6.5000000000000002E-2</v>
      </c>
      <c r="AD27">
        <v>0.45100000000000001</v>
      </c>
      <c r="AH27">
        <v>7.5870000000000006</v>
      </c>
      <c r="AI27">
        <v>0.69199999999999995</v>
      </c>
      <c r="AJ27">
        <v>0.01</v>
      </c>
      <c r="AK27">
        <v>4.4000000000000004E-2</v>
      </c>
    </row>
    <row r="29" spans="1:37" x14ac:dyDescent="0.2">
      <c r="A29" t="s">
        <v>110</v>
      </c>
    </row>
    <row r="30" spans="1:37" x14ac:dyDescent="0.2">
      <c r="A30" t="s">
        <v>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C9D4-30E8-174D-9514-9D4C98E4DEE4}">
  <dimension ref="A1:U39"/>
  <sheetViews>
    <sheetView topLeftCell="D27" zoomScale="109" zoomScaleNormal="110" workbookViewId="0">
      <selection activeCell="Q38" sqref="Q38"/>
    </sheetView>
  </sheetViews>
  <sheetFormatPr baseColWidth="10" defaultRowHeight="16" x14ac:dyDescent="0.2"/>
  <sheetData>
    <row r="1" spans="1:21" ht="22" x14ac:dyDescent="0.3">
      <c r="A1" s="27" t="s">
        <v>135</v>
      </c>
    </row>
    <row r="3" spans="1:21" ht="19" x14ac:dyDescent="0.25">
      <c r="Q3" s="8" t="s">
        <v>77</v>
      </c>
      <c r="R3" s="8"/>
      <c r="S3" s="8" t="s">
        <v>78</v>
      </c>
      <c r="T3" s="8" t="s">
        <v>79</v>
      </c>
      <c r="U3" s="8" t="s">
        <v>80</v>
      </c>
    </row>
    <row r="4" spans="1:21" ht="19" x14ac:dyDescent="0.25">
      <c r="Q4" s="8">
        <v>0</v>
      </c>
      <c r="R4" s="8"/>
      <c r="S4" s="11">
        <v>1.09E-9</v>
      </c>
      <c r="T4" s="8">
        <f>0.0000000011203*EXP(0.027011*Q4)</f>
        <v>1.1202999999999999E-9</v>
      </c>
      <c r="U4" s="11">
        <f>S4-T4</f>
        <v>-3.0299999999999988E-11</v>
      </c>
    </row>
    <row r="5" spans="1:21" ht="19" x14ac:dyDescent="0.25">
      <c r="Q5" s="8">
        <v>10</v>
      </c>
      <c r="R5" s="8"/>
      <c r="S5" s="11">
        <v>1.43E-9</v>
      </c>
      <c r="T5" s="8">
        <f t="shared" ref="T5:T11" si="0">0.0000000011203*EXP(0.027011*Q5)</f>
        <v>1.4677146138846364E-9</v>
      </c>
      <c r="U5" s="11">
        <f t="shared" ref="U5:U10" si="1">S5-T5</f>
        <v>-3.7714613884636331E-11</v>
      </c>
    </row>
    <row r="6" spans="1:21" ht="19" x14ac:dyDescent="0.25">
      <c r="Q6" s="8">
        <v>20</v>
      </c>
      <c r="R6" s="8"/>
      <c r="S6" s="11">
        <v>1.9099999999999998E-9</v>
      </c>
      <c r="T6" s="8">
        <f t="shared" si="0"/>
        <v>1.922865471579512E-9</v>
      </c>
      <c r="U6" s="11">
        <f t="shared" si="1"/>
        <v>-1.2865471579512197E-11</v>
      </c>
    </row>
    <row r="7" spans="1:21" ht="19" x14ac:dyDescent="0.25">
      <c r="Q7" s="8">
        <v>25</v>
      </c>
      <c r="R7" s="8"/>
      <c r="S7" s="11">
        <v>2.2999999999999999E-9</v>
      </c>
      <c r="T7" s="8">
        <f t="shared" si="0"/>
        <v>2.2009113103750419E-9</v>
      </c>
      <c r="U7" s="11">
        <f t="shared" si="1"/>
        <v>9.9088689624958039E-11</v>
      </c>
    </row>
    <row r="8" spans="1:21" ht="19" x14ac:dyDescent="0.25">
      <c r="Q8" s="8">
        <v>30</v>
      </c>
      <c r="R8" s="8"/>
      <c r="S8" s="11">
        <v>2.7000000000000002E-9</v>
      </c>
      <c r="T8" s="8">
        <f t="shared" si="0"/>
        <v>2.5191625039466423E-9</v>
      </c>
      <c r="U8" s="11">
        <f t="shared" si="1"/>
        <v>1.8083749605335793E-10</v>
      </c>
    </row>
    <row r="9" spans="1:21" ht="19" x14ac:dyDescent="0.25">
      <c r="Q9" s="8">
        <v>40</v>
      </c>
      <c r="R9" s="8"/>
      <c r="S9" s="11">
        <v>3.34E-9</v>
      </c>
      <c r="T9" s="8">
        <f t="shared" si="0"/>
        <v>3.300376347221905E-9</v>
      </c>
      <c r="U9" s="11">
        <f t="shared" si="1"/>
        <v>3.962365277809502E-11</v>
      </c>
    </row>
    <row r="10" spans="1:21" ht="19" x14ac:dyDescent="0.25">
      <c r="Q10" s="8">
        <v>50</v>
      </c>
      <c r="R10" s="8"/>
      <c r="S10" s="11">
        <v>4.0499999999999999E-9</v>
      </c>
      <c r="T10" s="8">
        <f t="shared" si="0"/>
        <v>4.3238512863847048E-9</v>
      </c>
      <c r="U10" s="11">
        <f t="shared" si="1"/>
        <v>-2.7385128638470497E-10</v>
      </c>
    </row>
    <row r="11" spans="1:21" ht="19" x14ac:dyDescent="0.25">
      <c r="Q11" s="12">
        <v>11</v>
      </c>
      <c r="R11" s="12"/>
      <c r="S11" s="8"/>
      <c r="T11" s="13">
        <f t="shared" si="0"/>
        <v>1.5078993247518668E-9</v>
      </c>
      <c r="U11" s="11"/>
    </row>
    <row r="33" spans="1:21" ht="22" x14ac:dyDescent="0.3">
      <c r="A33" s="27" t="s">
        <v>136</v>
      </c>
    </row>
    <row r="34" spans="1:21" ht="19" x14ac:dyDescent="0.25">
      <c r="P34" t="s">
        <v>137</v>
      </c>
      <c r="Q34" s="8" t="s">
        <v>77</v>
      </c>
      <c r="R34" s="8" t="s">
        <v>138</v>
      </c>
      <c r="S34" s="8" t="s">
        <v>78</v>
      </c>
      <c r="T34" s="8" t="s">
        <v>79</v>
      </c>
      <c r="U34" s="8" t="s">
        <v>80</v>
      </c>
    </row>
    <row r="35" spans="1:21" ht="19" x14ac:dyDescent="0.25">
      <c r="P35">
        <f>1/(273.15+Q35)</f>
        <v>3.6609921288669233E-3</v>
      </c>
      <c r="Q35" s="8">
        <v>0</v>
      </c>
      <c r="R35" s="8">
        <f>LOG(S35)</f>
        <v>-8.9956786262173569</v>
      </c>
      <c r="S35" s="11">
        <v>1.01E-9</v>
      </c>
      <c r="T35" s="8">
        <f>10^R35</f>
        <v>1.0099999999999978E-9</v>
      </c>
      <c r="U35" s="11">
        <f>S35-T35</f>
        <v>2.2747466845208261E-24</v>
      </c>
    </row>
    <row r="36" spans="1:21" ht="19" x14ac:dyDescent="0.25">
      <c r="P36">
        <f t="shared" ref="P36:P38" si="2">1/(273.15+Q36)</f>
        <v>3.4346556757685045E-3</v>
      </c>
      <c r="Q36" s="8">
        <v>18</v>
      </c>
      <c r="R36" s="8">
        <f t="shared" ref="R36:R37" si="3">LOG(S36)</f>
        <v>-8.7670038896078459</v>
      </c>
      <c r="S36" s="11">
        <v>1.7100000000000001E-9</v>
      </c>
      <c r="T36" s="8">
        <f t="shared" ref="T36:T38" si="4">10^R36</f>
        <v>1.709999999999998E-9</v>
      </c>
      <c r="U36" s="11">
        <f t="shared" ref="U36:U37" si="5">S36-T36</f>
        <v>2.0679515313825692E-24</v>
      </c>
    </row>
    <row r="37" spans="1:21" ht="19" x14ac:dyDescent="0.25">
      <c r="P37">
        <f t="shared" si="2"/>
        <v>3.3540164346805303E-3</v>
      </c>
      <c r="Q37" s="8">
        <v>25</v>
      </c>
      <c r="R37" s="8">
        <f t="shared" si="3"/>
        <v>-8.6382721639824069</v>
      </c>
      <c r="S37" s="11">
        <v>2.2999999999999999E-9</v>
      </c>
      <c r="T37" s="8">
        <f t="shared" si="4"/>
        <v>2.2999999999999991E-9</v>
      </c>
      <c r="U37" s="11">
        <f t="shared" si="5"/>
        <v>0</v>
      </c>
    </row>
    <row r="38" spans="1:21" ht="19" x14ac:dyDescent="0.25">
      <c r="P38">
        <f t="shared" si="2"/>
        <v>3.5192679922576107E-3</v>
      </c>
      <c r="Q38" s="12">
        <v>11</v>
      </c>
      <c r="R38" s="8">
        <f>-1130.9*P38-4.8612</f>
        <v>-8.841140172444133</v>
      </c>
      <c r="S38" s="11"/>
      <c r="T38" s="13">
        <f t="shared" si="4"/>
        <v>1.4416499709514382E-9</v>
      </c>
      <c r="U38" s="11"/>
    </row>
    <row r="39" spans="1:21" ht="19" x14ac:dyDescent="0.25">
      <c r="Q39" s="8"/>
      <c r="R39" s="8"/>
      <c r="S39" s="11"/>
      <c r="T39" s="8"/>
      <c r="U39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CD6E-98B0-0047-A78F-74FC5A4919CE}">
  <dimension ref="A1:I3"/>
  <sheetViews>
    <sheetView zoomScale="110" zoomScaleNormal="110" workbookViewId="0">
      <selection activeCell="H11" sqref="H11"/>
    </sheetView>
  </sheetViews>
  <sheetFormatPr baseColWidth="10" defaultRowHeight="16" x14ac:dyDescent="0.2"/>
  <cols>
    <col min="2" max="2" width="21.1640625" customWidth="1"/>
    <col min="7" max="7" width="22.1640625" customWidth="1"/>
    <col min="8" max="8" width="16.5" customWidth="1"/>
    <col min="9" max="9" width="18.83203125" customWidth="1"/>
  </cols>
  <sheetData>
    <row r="1" spans="1:9" x14ac:dyDescent="0.2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 spans="1:9" x14ac:dyDescent="0.2">
      <c r="A2" t="s">
        <v>148</v>
      </c>
      <c r="B2" t="s">
        <v>149</v>
      </c>
      <c r="C2">
        <v>40.359423302858701</v>
      </c>
      <c r="D2">
        <v>-111.813765015565</v>
      </c>
      <c r="E2" t="s">
        <v>150</v>
      </c>
      <c r="F2" t="s">
        <v>153</v>
      </c>
      <c r="G2" t="s">
        <v>152</v>
      </c>
      <c r="H2" s="28">
        <v>19.600000000000001</v>
      </c>
      <c r="I2" t="s">
        <v>151</v>
      </c>
    </row>
    <row r="3" spans="1:9" x14ac:dyDescent="0.2">
      <c r="A3" t="s">
        <v>148</v>
      </c>
      <c r="B3" t="s">
        <v>149</v>
      </c>
      <c r="C3">
        <v>40.359423302858701</v>
      </c>
      <c r="D3">
        <v>-111.813765015565</v>
      </c>
      <c r="E3" t="s">
        <v>150</v>
      </c>
      <c r="F3" t="s">
        <v>153</v>
      </c>
      <c r="G3" t="s">
        <v>152</v>
      </c>
      <c r="H3" s="28">
        <v>19.8</v>
      </c>
      <c r="I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TSSD</vt:lpstr>
      <vt:lpstr>DW24</vt:lpstr>
      <vt:lpstr>DW25</vt:lpstr>
      <vt:lpstr>Diffusion parameters</vt:lpstr>
      <vt:lpstr>Chloride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Nelson</dc:creator>
  <cp:lastModifiedBy>Norm Jones</cp:lastModifiedBy>
  <dcterms:created xsi:type="dcterms:W3CDTF">2025-10-30T17:07:58Z</dcterms:created>
  <dcterms:modified xsi:type="dcterms:W3CDTF">2025-11-30T22:11:14Z</dcterms:modified>
</cp:coreProperties>
</file>